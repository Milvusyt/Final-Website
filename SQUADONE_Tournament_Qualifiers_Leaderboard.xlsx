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Structure" sheetId="1" state="visible" r:id="rId1"/>
    <sheet xmlns:r="http://schemas.openxmlformats.org/officeDocument/2006/relationships" name="AvsB_M1" sheetId="2" state="visible" r:id="rId2"/>
    <sheet xmlns:r="http://schemas.openxmlformats.org/officeDocument/2006/relationships" name="AvsB_M2" sheetId="3" state="visible" r:id="rId3"/>
    <sheet xmlns:r="http://schemas.openxmlformats.org/officeDocument/2006/relationships" name="AvsB_M3" sheetId="4" state="visible" r:id="rId4"/>
    <sheet xmlns:r="http://schemas.openxmlformats.org/officeDocument/2006/relationships" name="AvsB_M4" sheetId="5" state="visible" r:id="rId5"/>
    <sheet xmlns:r="http://schemas.openxmlformats.org/officeDocument/2006/relationships" name="AvsB_M5" sheetId="6" state="visible" r:id="rId6"/>
    <sheet xmlns:r="http://schemas.openxmlformats.org/officeDocument/2006/relationships" name="AvsB_M6" sheetId="7" state="visible" r:id="rId7"/>
    <sheet xmlns:r="http://schemas.openxmlformats.org/officeDocument/2006/relationships" name="CvsD_M1" sheetId="8" state="visible" r:id="rId8"/>
    <sheet xmlns:r="http://schemas.openxmlformats.org/officeDocument/2006/relationships" name="CvsD_M2" sheetId="9" state="visible" r:id="rId9"/>
    <sheet xmlns:r="http://schemas.openxmlformats.org/officeDocument/2006/relationships" name="CvsD_M3" sheetId="10" state="visible" r:id="rId10"/>
    <sheet xmlns:r="http://schemas.openxmlformats.org/officeDocument/2006/relationships" name="CvsD_M4" sheetId="11" state="visible" r:id="rId11"/>
    <sheet xmlns:r="http://schemas.openxmlformats.org/officeDocument/2006/relationships" name="CvsD_M5" sheetId="12" state="visible" r:id="rId12"/>
    <sheet xmlns:r="http://schemas.openxmlformats.org/officeDocument/2006/relationships" name="CvsD_M6" sheetId="13" state="visible" r:id="rId13"/>
    <sheet xmlns:r="http://schemas.openxmlformats.org/officeDocument/2006/relationships" name="AvsC_M1" sheetId="14" state="visible" r:id="rId14"/>
    <sheet xmlns:r="http://schemas.openxmlformats.org/officeDocument/2006/relationships" name="AvsC_M2" sheetId="15" state="visible" r:id="rId15"/>
    <sheet xmlns:r="http://schemas.openxmlformats.org/officeDocument/2006/relationships" name="AvsC_M3" sheetId="16" state="visible" r:id="rId16"/>
    <sheet xmlns:r="http://schemas.openxmlformats.org/officeDocument/2006/relationships" name="AvsC_M4" sheetId="17" state="visible" r:id="rId17"/>
    <sheet xmlns:r="http://schemas.openxmlformats.org/officeDocument/2006/relationships" name="AvsC_M5" sheetId="18" state="visible" r:id="rId18"/>
    <sheet xmlns:r="http://schemas.openxmlformats.org/officeDocument/2006/relationships" name="AvsC_M6" sheetId="19" state="visible" r:id="rId19"/>
    <sheet xmlns:r="http://schemas.openxmlformats.org/officeDocument/2006/relationships" name="BvsD_M1" sheetId="20" state="visible" r:id="rId20"/>
    <sheet xmlns:r="http://schemas.openxmlformats.org/officeDocument/2006/relationships" name="BvsD_M2" sheetId="21" state="visible" r:id="rId21"/>
    <sheet xmlns:r="http://schemas.openxmlformats.org/officeDocument/2006/relationships" name="BvsD_M3" sheetId="22" state="visible" r:id="rId22"/>
    <sheet xmlns:r="http://schemas.openxmlformats.org/officeDocument/2006/relationships" name="BvsD_M4" sheetId="23" state="visible" r:id="rId23"/>
    <sheet xmlns:r="http://schemas.openxmlformats.org/officeDocument/2006/relationships" name="BvsD_M5" sheetId="24" state="visible" r:id="rId24"/>
    <sheet xmlns:r="http://schemas.openxmlformats.org/officeDocument/2006/relationships" name="BvsD_M6" sheetId="25" state="visible" r:id="rId25"/>
    <sheet xmlns:r="http://schemas.openxmlformats.org/officeDocument/2006/relationships" name="AvsD_M1" sheetId="26" state="visible" r:id="rId26"/>
    <sheet xmlns:r="http://schemas.openxmlformats.org/officeDocument/2006/relationships" name="AvsD_M2" sheetId="27" state="visible" r:id="rId27"/>
    <sheet xmlns:r="http://schemas.openxmlformats.org/officeDocument/2006/relationships" name="AvsD_M3" sheetId="28" state="visible" r:id="rId28"/>
    <sheet xmlns:r="http://schemas.openxmlformats.org/officeDocument/2006/relationships" name="AvsD_M4" sheetId="29" state="visible" r:id="rId29"/>
    <sheet xmlns:r="http://schemas.openxmlformats.org/officeDocument/2006/relationships" name="AvsD_M5" sheetId="30" state="visible" r:id="rId30"/>
    <sheet xmlns:r="http://schemas.openxmlformats.org/officeDocument/2006/relationships" name="AvsD_M6" sheetId="31" state="visible" r:id="rId31"/>
    <sheet xmlns:r="http://schemas.openxmlformats.org/officeDocument/2006/relationships" name="BvsC_M1" sheetId="32" state="visible" r:id="rId32"/>
    <sheet xmlns:r="http://schemas.openxmlformats.org/officeDocument/2006/relationships" name="BvsC_M2" sheetId="33" state="visible" r:id="rId33"/>
    <sheet xmlns:r="http://schemas.openxmlformats.org/officeDocument/2006/relationships" name="BvsC_M3" sheetId="34" state="visible" r:id="rId34"/>
    <sheet xmlns:r="http://schemas.openxmlformats.org/officeDocument/2006/relationships" name="BvsC_M4" sheetId="35" state="visible" r:id="rId35"/>
    <sheet xmlns:r="http://schemas.openxmlformats.org/officeDocument/2006/relationships" name="BvsC_M5" sheetId="36" state="visible" r:id="rId36"/>
    <sheet xmlns:r="http://schemas.openxmlformats.org/officeDocument/2006/relationships" name="BvsC_M6" sheetId="37" state="visible" r:id="rId37"/>
    <sheet xmlns:r="http://schemas.openxmlformats.org/officeDocument/2006/relationships" name="Overall Leaderboard" sheetId="38" state="visible" r:id="rId38"/>
  </sheets>
  <definedNames>
    <definedName name="_xlnm._FilterDatabase" localSheetId="1" hidden="1">'AvsB_M1'!$A$3:$K$106</definedName>
    <definedName name="_xlnm._FilterDatabase" localSheetId="2" hidden="1">'AvsB_M2'!$A$3:$K$3</definedName>
    <definedName name="_xlnm._FilterDatabase" localSheetId="3" hidden="1">'AvsB_M3'!$A$3:$K$3</definedName>
    <definedName name="_xlnm._FilterDatabase" localSheetId="4" hidden="1">'AvsB_M4'!$A$3:$K$3</definedName>
    <definedName name="_xlnm._FilterDatabase" localSheetId="5" hidden="1">'AvsB_M5'!$A$3:$K$3</definedName>
    <definedName name="_xlnm._FilterDatabase" localSheetId="6" hidden="1">'AvsB_M6'!$A$3:$K$3</definedName>
    <definedName name="_xlnm._FilterDatabase" localSheetId="7" hidden="1">'CvsD_M1'!$A$3:$K$3</definedName>
    <definedName name="_xlnm._FilterDatabase" localSheetId="8" hidden="1">'CvsD_M2'!$A$3:$K$3</definedName>
    <definedName name="_xlnm._FilterDatabase" localSheetId="9" hidden="1">'CvsD_M3'!$A$3:$K$3</definedName>
    <definedName name="_xlnm._FilterDatabase" localSheetId="10" hidden="1">'CvsD_M4'!$A$3:$K$3</definedName>
    <definedName name="_xlnm._FilterDatabase" localSheetId="11" hidden="1">'CvsD_M5'!$A$3:$K$3</definedName>
    <definedName name="_xlnm._FilterDatabase" localSheetId="12" hidden="1">'CvsD_M6'!$A$3:$K$3</definedName>
    <definedName name="_xlnm._FilterDatabase" localSheetId="13" hidden="1">'AvsC_M1'!$A$3:$K$3</definedName>
    <definedName name="_xlnm._FilterDatabase" localSheetId="14" hidden="1">'AvsC_M2'!$A$3:$K$3</definedName>
    <definedName name="_xlnm._FilterDatabase" localSheetId="15" hidden="1">'AvsC_M3'!$A$3:$K$3</definedName>
    <definedName name="_xlnm._FilterDatabase" localSheetId="16" hidden="1">'AvsC_M4'!$A$3:$K$3</definedName>
    <definedName name="_xlnm._FilterDatabase" localSheetId="17" hidden="1">'AvsC_M5'!$A$3:$K$3</definedName>
    <definedName name="_xlnm._FilterDatabase" localSheetId="18" hidden="1">'AvsC_M6'!$A$3:$K$3</definedName>
    <definedName name="_xlnm._FilterDatabase" localSheetId="19" hidden="1">'BvsD_M1'!$A$3:$K$3</definedName>
    <definedName name="_xlnm._FilterDatabase" localSheetId="20" hidden="1">'BvsD_M2'!$A$3:$K$3</definedName>
    <definedName name="_xlnm._FilterDatabase" localSheetId="21" hidden="1">'BvsD_M3'!$A$3:$K$3</definedName>
    <definedName name="_xlnm._FilterDatabase" localSheetId="22" hidden="1">'BvsD_M4'!$A$3:$K$3</definedName>
    <definedName name="_xlnm._FilterDatabase" localSheetId="23" hidden="1">'BvsD_M5'!$A$3:$K$3</definedName>
    <definedName name="_xlnm._FilterDatabase" localSheetId="24" hidden="1">'BvsD_M6'!$A$3:$K$3</definedName>
    <definedName name="_xlnm._FilterDatabase" localSheetId="25" hidden="1">'AvsD_M1'!$A$3:$K$3</definedName>
    <definedName name="_xlnm._FilterDatabase" localSheetId="26" hidden="1">'AvsD_M2'!$A$3:$K$3</definedName>
    <definedName name="_xlnm._FilterDatabase" localSheetId="27" hidden="1">'AvsD_M3'!$A$3:$K$3</definedName>
    <definedName name="_xlnm._FilterDatabase" localSheetId="28" hidden="1">'AvsD_M4'!$A$3:$K$3</definedName>
    <definedName name="_xlnm._FilterDatabase" localSheetId="29" hidden="1">'AvsD_M5'!$A$3:$K$3</definedName>
    <definedName name="_xlnm._FilterDatabase" localSheetId="30" hidden="1">'AvsD_M6'!$A$3:$K$3</definedName>
    <definedName name="_xlnm._FilterDatabase" localSheetId="31" hidden="1">'BvsC_M1'!$A$3:$K$3</definedName>
    <definedName name="_xlnm._FilterDatabase" localSheetId="32" hidden="1">'BvsC_M2'!$A$3:$K$3</definedName>
    <definedName name="_xlnm._FilterDatabase" localSheetId="33" hidden="1">'BvsC_M3'!$A$3:$K$3</definedName>
    <definedName name="_xlnm._FilterDatabase" localSheetId="34" hidden="1">'BvsC_M4'!$A$3:$K$3</definedName>
    <definedName name="_xlnm._FilterDatabase" localSheetId="35" hidden="1">'BvsC_M5'!$A$3:$K$3</definedName>
    <definedName name="_xlnm._FilterDatabase" localSheetId="36" hidden="1">'BvsC_M6'!$A$3:$K$3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A7B0C0"/>
      <sz val="10"/>
    </font>
    <font>
      <b val="1"/>
      <color rgb="00A7B0C0"/>
      <sz val="9"/>
    </font>
    <font>
      <b val="1"/>
      <color rgb="0000D9FF"/>
      <sz val="24"/>
    </font>
    <font>
      <b val="1"/>
      <color rgb="007C3AED"/>
      <sz val="24"/>
    </font>
    <font>
      <b val="1"/>
      <color rgb="00F59E0B"/>
      <sz val="24"/>
    </font>
    <font>
      <b val="1"/>
      <color rgb="0022C55E"/>
      <sz val="24"/>
    </font>
    <font>
      <b val="1"/>
      <color rgb="00FFFFFF"/>
      <sz val="14"/>
    </font>
    <font>
      <b val="1"/>
      <color rgb="00FFFFFF"/>
    </font>
    <font>
      <color rgb="00FFFFFF"/>
    </font>
    <font>
      <b val="1"/>
      <color rgb="00FFFFFF"/>
      <sz val="20"/>
    </font>
    <font>
      <b val="1"/>
      <color rgb="00FFFFFF"/>
      <sz val="18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82235"/>
      </patternFill>
    </fill>
    <fill>
      <patternFill patternType="solid">
        <fgColor rgb="00111827"/>
      </patternFill>
    </fill>
    <fill>
      <patternFill patternType="solid">
        <fgColor rgb="0010182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2B3850"/>
      </left>
      <right style="thin">
        <color rgb="002B3850"/>
      </right>
      <top style="thin">
        <color rgb="002B3850"/>
      </top>
      <bottom style="thin">
        <color rgb="002B3850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8" fillId="2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0" fontId="10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10" fillId="4" borderId="1" pivotButton="0" quotePrefix="0" xfId="0"/>
    <xf numFmtId="0" fontId="10" fillId="3" borderId="1" pivotButton="0" quotePrefix="0" xfId="0"/>
    <xf numFmtId="0" fontId="10" fillId="4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4" fontId="10" fillId="4" borderId="1" applyAlignment="1" pivotButton="0" quotePrefix="0" xfId="0">
      <alignment horizontal="center"/>
    </xf>
    <xf numFmtId="0" fontId="10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center"/>
    </xf>
    <xf numFmtId="4" fontId="10" fillId="3" borderId="1" applyAlignment="1" pivotButton="0" quotePrefix="0" xfId="0">
      <alignment horizontal="center"/>
    </xf>
    <xf numFmtId="4" fontId="10" fillId="4" borderId="1" pivotButton="0" quotePrefix="0" xfId="0"/>
    <xf numFmtId="4" fontId="10" fillId="3" borderId="1" pivotButton="0" quotePrefix="0" xfId="0"/>
    <xf numFmtId="0" fontId="1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1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9" fillId="6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13" fillId="7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29" t="inlineStr">
        <is>
          <t>SQUADONE ESPORTS | QUALIFIERS</t>
        </is>
      </c>
      <c r="B1" s="30" t="n"/>
      <c r="C1" s="30" t="n"/>
      <c r="D1" s="30" t="n"/>
      <c r="E1" s="30" t="n"/>
      <c r="F1" s="30" t="n"/>
    </row>
    <row r="2">
      <c r="A2" s="30" t="n"/>
      <c r="B2" s="30" t="n"/>
      <c r="C2" s="30" t="n"/>
      <c r="D2" s="30" t="n"/>
      <c r="E2" s="30" t="n"/>
      <c r="F2" s="30" t="n"/>
    </row>
    <row r="3">
      <c r="A3" s="31" t="inlineStr">
        <is>
          <t>Correct Match Pattern</t>
        </is>
      </c>
      <c r="B3" s="30" t="n"/>
      <c r="C3" s="30" t="n"/>
      <c r="D3" s="30" t="inlineStr">
        <is>
          <t>Total Group Matchups</t>
        </is>
      </c>
      <c r="E3" s="30" t="n">
        <v>6</v>
      </c>
      <c r="F3" s="30" t="n"/>
    </row>
    <row r="4">
      <c r="A4" s="32" t="inlineStr">
        <is>
          <t>A vs B</t>
        </is>
      </c>
      <c r="B4" s="32" t="n">
        <v>6</v>
      </c>
      <c r="C4" s="30" t="n"/>
      <c r="D4" s="30" t="inlineStr">
        <is>
          <t>Matches per Group Matchup</t>
        </is>
      </c>
      <c r="E4" s="30" t="n">
        <v>6</v>
      </c>
      <c r="F4" s="30" t="n"/>
    </row>
    <row r="5">
      <c r="A5" s="32" t="inlineStr">
        <is>
          <t>C vs D</t>
        </is>
      </c>
      <c r="B5" s="32" t="n">
        <v>6</v>
      </c>
      <c r="C5" s="30" t="n"/>
      <c r="D5" s="30" t="inlineStr">
        <is>
          <t>Total Qualifier Matches</t>
        </is>
      </c>
      <c r="E5" s="30">
        <f>E3*E4</f>
        <v/>
      </c>
      <c r="F5" s="30" t="n"/>
    </row>
    <row r="6">
      <c r="A6" s="32" t="inlineStr">
        <is>
          <t>A vs C</t>
        </is>
      </c>
      <c r="B6" s="32" t="n">
        <v>6</v>
      </c>
      <c r="C6" s="30" t="n"/>
      <c r="D6" s="30" t="n"/>
      <c r="E6" s="30" t="n"/>
      <c r="F6" s="30" t="n"/>
    </row>
    <row r="7">
      <c r="A7" s="32" t="inlineStr">
        <is>
          <t>B vs D</t>
        </is>
      </c>
      <c r="B7" s="32" t="n">
        <v>6</v>
      </c>
      <c r="C7" s="30" t="n"/>
      <c r="D7" s="30" t="n"/>
      <c r="E7" s="30" t="n"/>
      <c r="F7" s="30" t="n"/>
    </row>
    <row r="8">
      <c r="A8" s="32" t="inlineStr">
        <is>
          <t>A vs D</t>
        </is>
      </c>
      <c r="B8" s="32" t="n">
        <v>6</v>
      </c>
      <c r="C8" s="30" t="n"/>
      <c r="D8" s="30" t="n"/>
      <c r="E8" s="30" t="n"/>
      <c r="F8" s="30" t="n"/>
    </row>
    <row r="9">
      <c r="A9" s="32" t="inlineStr">
        <is>
          <t>B vs C</t>
        </is>
      </c>
      <c r="B9" s="32" t="n">
        <v>6</v>
      </c>
      <c r="C9" s="30" t="n"/>
      <c r="D9" s="30" t="n"/>
      <c r="E9" s="30" t="n"/>
      <c r="F9" s="30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B | AvsB_M1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2" t="n">
        <v>1</v>
      </c>
      <c r="B4" s="35" t="inlineStr">
        <is>
          <t>Zero_Hour</t>
        </is>
      </c>
      <c r="C4" s="32" t="n">
        <v>20</v>
      </c>
      <c r="D4" s="32" t="n">
        <v>10</v>
      </c>
      <c r="E4" s="32" t="n">
        <v>10</v>
      </c>
      <c r="F4" s="32" t="n">
        <v>2380.52</v>
      </c>
      <c r="G4" s="32" t="n">
        <v>1</v>
      </c>
      <c r="H4" s="32" t="n">
        <v>9</v>
      </c>
      <c r="I4" s="32" t="n">
        <v>1</v>
      </c>
      <c r="J4" s="32" t="n">
        <v>1371.95</v>
      </c>
      <c r="K4" s="32" t="n">
        <v>1008.57</v>
      </c>
    </row>
    <row r="5">
      <c r="A5" s="36" t="inlineStr">
        <is>
          <t>PLAYER STATISTICS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</row>
    <row r="6">
      <c r="A6" s="37" t="inlineStr">
        <is>
          <t>Player</t>
        </is>
      </c>
      <c r="B6" s="37" t="inlineStr">
        <is>
          <t>Kills</t>
        </is>
      </c>
      <c r="C6" s="37" t="inlineStr">
        <is>
          <t>Assists</t>
        </is>
      </c>
      <c r="D6" s="37" t="inlineStr">
        <is>
          <t>CQB Kills</t>
        </is>
      </c>
      <c r="E6" s="37" t="inlineStr">
        <is>
          <t>LRB Kills</t>
        </is>
      </c>
      <c r="F6" s="37" t="inlineStr">
        <is>
          <t>CQB DMG</t>
        </is>
      </c>
      <c r="G6" s="37" t="inlineStr">
        <is>
          <t>LRB DMG</t>
        </is>
      </c>
      <c r="H6" s="37" t="inlineStr">
        <is>
          <t>Total DMG</t>
        </is>
      </c>
      <c r="I6" s="30" t="n"/>
      <c r="J6" s="30" t="n"/>
      <c r="K6" s="30" t="n"/>
    </row>
    <row r="7">
      <c r="A7" s="32" t="inlineStr">
        <is>
          <t>The--SherLock</t>
        </is>
      </c>
      <c r="B7" s="32" t="n">
        <v>2</v>
      </c>
      <c r="C7" s="32" t="n">
        <v>0</v>
      </c>
      <c r="D7" s="32" t="n">
        <v>1</v>
      </c>
      <c r="E7" s="32" t="n">
        <v>1</v>
      </c>
      <c r="F7" s="32" t="n">
        <v>180.96</v>
      </c>
      <c r="G7" s="32" t="n">
        <v>402.83</v>
      </c>
      <c r="H7" s="32" t="n">
        <v>583.79</v>
      </c>
      <c r="I7" s="30" t="n"/>
      <c r="J7" s="30" t="n"/>
      <c r="K7" s="30" t="n"/>
    </row>
    <row r="8">
      <c r="A8" s="32" t="inlineStr">
        <is>
          <t>GULUzmbi-YT</t>
        </is>
      </c>
      <c r="B8" s="32" t="n">
        <v>1</v>
      </c>
      <c r="C8" s="32" t="n">
        <v>1</v>
      </c>
      <c r="D8" s="32" t="n">
        <v>1</v>
      </c>
      <c r="E8" s="32" t="n">
        <v>0</v>
      </c>
      <c r="F8" s="32" t="n">
        <v>305.44</v>
      </c>
      <c r="G8" s="32" t="n">
        <v>175.4</v>
      </c>
      <c r="H8" s="32" t="n">
        <v>480.84</v>
      </c>
      <c r="I8" s="30" t="n"/>
      <c r="J8" s="30" t="n"/>
      <c r="K8" s="30" t="n"/>
    </row>
    <row r="9">
      <c r="A9" s="32" t="inlineStr">
        <is>
          <t>Granny_In_Bikini</t>
        </is>
      </c>
      <c r="B9" s="32" t="n">
        <v>5</v>
      </c>
      <c r="C9" s="32" t="n">
        <v>0</v>
      </c>
      <c r="D9" s="32" t="n">
        <v>5</v>
      </c>
      <c r="E9" s="32" t="n">
        <v>0</v>
      </c>
      <c r="F9" s="32" t="n">
        <v>532.6799999999999</v>
      </c>
      <c r="G9" s="32" t="n">
        <v>257.1</v>
      </c>
      <c r="H9" s="32" t="n">
        <v>789.78</v>
      </c>
      <c r="I9" s="30" t="n"/>
      <c r="J9" s="30" t="n"/>
      <c r="K9" s="30" t="n"/>
    </row>
    <row r="10">
      <c r="A10" s="32" t="inlineStr">
        <is>
          <t>Alien-FPS</t>
        </is>
      </c>
      <c r="B10" s="32" t="n">
        <v>2</v>
      </c>
      <c r="C10" s="32" t="n">
        <v>0</v>
      </c>
      <c r="D10" s="32" t="n">
        <v>2</v>
      </c>
      <c r="E10" s="32" t="n">
        <v>0</v>
      </c>
      <c r="F10" s="32" t="n">
        <v>352.87</v>
      </c>
      <c r="G10" s="32" t="n">
        <v>173.25</v>
      </c>
      <c r="H10" s="32" t="n">
        <v>526.12</v>
      </c>
      <c r="I10" s="30" t="n"/>
      <c r="J10" s="30" t="n"/>
      <c r="K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</row>
    <row r="12">
      <c r="A12" s="32" t="n">
        <v>2</v>
      </c>
      <c r="B12" s="35" t="inlineStr">
        <is>
          <t>DANJAAR</t>
        </is>
      </c>
      <c r="C12" s="32" t="n">
        <v>13</v>
      </c>
      <c r="D12" s="32" t="n">
        <v>6</v>
      </c>
      <c r="E12" s="32" t="n">
        <v>7</v>
      </c>
      <c r="F12" s="32" t="n">
        <v>2536.51</v>
      </c>
      <c r="G12" s="32" t="n">
        <v>4</v>
      </c>
      <c r="H12" s="32" t="n">
        <v>3</v>
      </c>
      <c r="I12" s="32" t="n">
        <v>4</v>
      </c>
      <c r="J12" s="32" t="n">
        <v>437.77</v>
      </c>
      <c r="K12" s="32" t="n">
        <v>2098.74</v>
      </c>
    </row>
    <row r="13">
      <c r="A13" s="36" t="inlineStr">
        <is>
          <t>PLAYER STATISTICS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</row>
    <row r="14">
      <c r="A14" s="37" t="inlineStr">
        <is>
          <t>Player</t>
        </is>
      </c>
      <c r="B14" s="37" t="inlineStr">
        <is>
          <t>Kills</t>
        </is>
      </c>
      <c r="C14" s="37" t="inlineStr">
        <is>
          <t>Assists</t>
        </is>
      </c>
      <c r="D14" s="37" t="inlineStr">
        <is>
          <t>CQB Kills</t>
        </is>
      </c>
      <c r="E14" s="37" t="inlineStr">
        <is>
          <t>LRB Kills</t>
        </is>
      </c>
      <c r="F14" s="37" t="inlineStr">
        <is>
          <t>CQB DMG</t>
        </is>
      </c>
      <c r="G14" s="37" t="inlineStr">
        <is>
          <t>LRB DMG</t>
        </is>
      </c>
      <c r="H14" s="37" t="inlineStr">
        <is>
          <t>Total DMG</t>
        </is>
      </c>
      <c r="I14" s="30" t="n"/>
      <c r="J14" s="30" t="n"/>
      <c r="K14" s="30" t="n"/>
    </row>
    <row r="15">
      <c r="A15" s="32" t="inlineStr">
        <is>
          <t>WipzY_YT</t>
        </is>
      </c>
      <c r="B15" s="32" t="n">
        <v>1</v>
      </c>
      <c r="C15" s="32" t="n">
        <v>2</v>
      </c>
      <c r="D15" s="32" t="n">
        <v>1</v>
      </c>
      <c r="E15" s="32" t="n">
        <v>0</v>
      </c>
      <c r="F15" s="32" t="n">
        <v>206.88</v>
      </c>
      <c r="G15" s="32" t="n">
        <v>836.08</v>
      </c>
      <c r="H15" s="32" t="n">
        <v>1042.96</v>
      </c>
      <c r="I15" s="30" t="n"/>
      <c r="J15" s="30" t="n"/>
      <c r="K15" s="30" t="n"/>
    </row>
    <row r="16">
      <c r="A16" s="32" t="inlineStr">
        <is>
          <t>BLIND_REBEL</t>
        </is>
      </c>
      <c r="B16" s="32" t="n">
        <v>5</v>
      </c>
      <c r="C16" s="32" t="n">
        <v>1</v>
      </c>
      <c r="D16" s="32" t="n">
        <v>2</v>
      </c>
      <c r="E16" s="32" t="n">
        <v>3</v>
      </c>
      <c r="F16" s="32" t="n">
        <v>186.18</v>
      </c>
      <c r="G16" s="32" t="n">
        <v>561.71</v>
      </c>
      <c r="H16" s="32" t="n">
        <v>747.8900000000001</v>
      </c>
      <c r="I16" s="30" t="n"/>
      <c r="J16" s="30" t="n"/>
      <c r="K16" s="30" t="n"/>
    </row>
    <row r="17">
      <c r="A17" s="32" t="inlineStr">
        <is>
          <t>SniperShashi23</t>
        </is>
      </c>
      <c r="B17" s="32" t="n">
        <v>0</v>
      </c>
      <c r="C17" s="32" t="n">
        <v>1</v>
      </c>
      <c r="D17" s="32" t="n">
        <v>0</v>
      </c>
      <c r="E17" s="32" t="n">
        <v>0</v>
      </c>
      <c r="F17" s="32" t="n">
        <v>23.84</v>
      </c>
      <c r="G17" s="32" t="n">
        <v>319.05</v>
      </c>
      <c r="H17" s="32" t="n">
        <v>342.89</v>
      </c>
      <c r="I17" s="30" t="n"/>
      <c r="J17" s="30" t="n"/>
      <c r="K17" s="30" t="n"/>
    </row>
    <row r="18">
      <c r="A18" s="32" t="inlineStr">
        <is>
          <t>itsooFluFFy</t>
        </is>
      </c>
      <c r="B18" s="32" t="n">
        <v>1</v>
      </c>
      <c r="C18" s="32" t="n">
        <v>0</v>
      </c>
      <c r="D18" s="32" t="n">
        <v>0</v>
      </c>
      <c r="E18" s="32" t="n">
        <v>1</v>
      </c>
      <c r="F18" s="32" t="n">
        <v>20.87</v>
      </c>
      <c r="G18" s="32" t="n">
        <v>381.9</v>
      </c>
      <c r="H18" s="32" t="n">
        <v>402.77</v>
      </c>
      <c r="I18" s="30" t="n"/>
      <c r="J18" s="30" t="n"/>
      <c r="K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</row>
    <row r="20">
      <c r="A20" s="32" t="n">
        <v>3</v>
      </c>
      <c r="B20" s="35" t="inlineStr">
        <is>
          <t>RAKUZAN</t>
        </is>
      </c>
      <c r="C20" s="32" t="n">
        <v>11</v>
      </c>
      <c r="D20" s="32" t="n">
        <v>4</v>
      </c>
      <c r="E20" s="32" t="n">
        <v>7</v>
      </c>
      <c r="F20" s="32" t="n">
        <v>757.34</v>
      </c>
      <c r="G20" s="32" t="n">
        <v>3</v>
      </c>
      <c r="H20" s="32" t="n">
        <v>5</v>
      </c>
      <c r="I20" s="32" t="n">
        <v>2</v>
      </c>
      <c r="J20" s="32" t="n">
        <v>511.52</v>
      </c>
      <c r="K20" s="32" t="n">
        <v>245.83</v>
      </c>
    </row>
    <row r="21">
      <c r="A21" s="36" t="inlineStr">
        <is>
          <t>PLAYER STATISTICS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</row>
    <row r="22">
      <c r="A22" s="37" t="inlineStr">
        <is>
          <t>Player</t>
        </is>
      </c>
      <c r="B22" s="37" t="inlineStr">
        <is>
          <t>Kills</t>
        </is>
      </c>
      <c r="C22" s="37" t="inlineStr">
        <is>
          <t>Assists</t>
        </is>
      </c>
      <c r="D22" s="37" t="inlineStr">
        <is>
          <t>CQB Kills</t>
        </is>
      </c>
      <c r="E22" s="37" t="inlineStr">
        <is>
          <t>LRB Kills</t>
        </is>
      </c>
      <c r="F22" s="37" t="inlineStr">
        <is>
          <t>CQB DMG</t>
        </is>
      </c>
      <c r="G22" s="37" t="inlineStr">
        <is>
          <t>LRB DMG</t>
        </is>
      </c>
      <c r="H22" s="37" t="inlineStr">
        <is>
          <t>Total DMG</t>
        </is>
      </c>
      <c r="I22" s="30" t="n"/>
      <c r="J22" s="30" t="n"/>
      <c r="K22" s="30" t="n"/>
    </row>
    <row r="23">
      <c r="A23" s="32" t="inlineStr">
        <is>
          <t>004GlitcH</t>
        </is>
      </c>
      <c r="B23" s="32" t="n">
        <v>1</v>
      </c>
      <c r="C23" s="32" t="n">
        <v>1</v>
      </c>
      <c r="D23" s="32" t="n">
        <v>0</v>
      </c>
      <c r="E23" s="32" t="n">
        <v>1</v>
      </c>
      <c r="F23" s="32" t="n">
        <v>16.99</v>
      </c>
      <c r="G23" s="32" t="n">
        <v>86.93000000000001</v>
      </c>
      <c r="H23" s="32" t="n">
        <v>103.92</v>
      </c>
      <c r="I23" s="30" t="n"/>
      <c r="J23" s="30" t="n"/>
      <c r="K23" s="30" t="n"/>
    </row>
    <row r="24">
      <c r="A24" s="32" t="inlineStr">
        <is>
          <t>CR4ZY-XD</t>
        </is>
      </c>
      <c r="B24" s="32" t="n">
        <v>4</v>
      </c>
      <c r="C24" s="32" t="n">
        <v>1</v>
      </c>
      <c r="D24" s="32" t="n">
        <v>4</v>
      </c>
      <c r="E24" s="32" t="n">
        <v>0</v>
      </c>
      <c r="F24" s="32" t="n">
        <v>306.19</v>
      </c>
      <c r="G24" s="32" t="n">
        <v>104.66</v>
      </c>
      <c r="H24" s="32" t="n">
        <v>410.85</v>
      </c>
      <c r="I24" s="30" t="n"/>
      <c r="J24" s="30" t="n"/>
      <c r="K24" s="30" t="n"/>
    </row>
    <row r="25">
      <c r="A25" s="32" t="inlineStr">
        <is>
          <t>AsTRO-OG</t>
        </is>
      </c>
      <c r="B25" s="32" t="n">
        <v>2</v>
      </c>
      <c r="C25" s="32" t="n">
        <v>1</v>
      </c>
      <c r="D25" s="32" t="n">
        <v>1</v>
      </c>
      <c r="E25" s="32" t="n">
        <v>1</v>
      </c>
      <c r="F25" s="32" t="n">
        <v>188.33</v>
      </c>
      <c r="G25" s="32" t="n">
        <v>54.24</v>
      </c>
      <c r="H25" s="32" t="n">
        <v>242.57</v>
      </c>
      <c r="I25" s="30" t="n"/>
      <c r="J25" s="30" t="n"/>
      <c r="K25" s="30" t="n"/>
    </row>
    <row r="26">
      <c r="A26" s="32" t="inlineStr">
        <is>
          <t>LennexCS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0" t="n"/>
      <c r="J26" s="30" t="n"/>
      <c r="K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>
      <c r="A28" s="32" t="n">
        <v>4</v>
      </c>
      <c r="B28" s="35" t="inlineStr">
        <is>
          <t>KALI-2</t>
        </is>
      </c>
      <c r="C28" s="32" t="n">
        <v>5</v>
      </c>
      <c r="D28" s="32" t="n">
        <v>0</v>
      </c>
      <c r="E28" s="32" t="n">
        <v>5</v>
      </c>
      <c r="F28" s="32" t="n">
        <v>920.65</v>
      </c>
      <c r="G28" s="32" t="n">
        <v>2</v>
      </c>
      <c r="H28" s="32" t="n">
        <v>1</v>
      </c>
      <c r="I28" s="32" t="n">
        <v>4</v>
      </c>
      <c r="J28" s="32" t="n">
        <v>461.8</v>
      </c>
      <c r="K28" s="32" t="n">
        <v>458.86</v>
      </c>
    </row>
    <row r="29">
      <c r="A29" s="36" t="inlineStr">
        <is>
          <t>PLAYER STATISTICS</t>
        </is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</row>
    <row r="30">
      <c r="A30" s="37" t="inlineStr">
        <is>
          <t>Player</t>
        </is>
      </c>
      <c r="B30" s="37" t="inlineStr">
        <is>
          <t>Kills</t>
        </is>
      </c>
      <c r="C30" s="37" t="inlineStr">
        <is>
          <t>Assists</t>
        </is>
      </c>
      <c r="D30" s="37" t="inlineStr">
        <is>
          <t>CQB Kills</t>
        </is>
      </c>
      <c r="E30" s="37" t="inlineStr">
        <is>
          <t>LRB Kills</t>
        </is>
      </c>
      <c r="F30" s="37" t="inlineStr">
        <is>
          <t>CQB DMG</t>
        </is>
      </c>
      <c r="G30" s="37" t="inlineStr">
        <is>
          <t>LRB DMG</t>
        </is>
      </c>
      <c r="H30" s="37" t="inlineStr">
        <is>
          <t>Total DMG</t>
        </is>
      </c>
      <c r="I30" s="30" t="n"/>
      <c r="J30" s="30" t="n"/>
      <c r="K30" s="30" t="n"/>
    </row>
    <row r="31">
      <c r="A31" s="32" t="inlineStr">
        <is>
          <t>GHOST--404</t>
        </is>
      </c>
      <c r="B31" s="32" t="n">
        <v>0</v>
      </c>
      <c r="C31" s="32" t="n">
        <v>0</v>
      </c>
      <c r="D31" s="32" t="n">
        <v>0</v>
      </c>
      <c r="E31" s="32" t="n">
        <v>0</v>
      </c>
      <c r="F31" s="32" t="n">
        <v>25.14</v>
      </c>
      <c r="G31" s="32" t="n">
        <v>22.51</v>
      </c>
      <c r="H31" s="32" t="n">
        <v>47.65000000000001</v>
      </c>
      <c r="I31" s="30" t="n"/>
      <c r="J31" s="30" t="n"/>
      <c r="K31" s="30" t="n"/>
    </row>
    <row r="32">
      <c r="A32" s="32" t="inlineStr">
        <is>
          <t>hellion_07</t>
        </is>
      </c>
      <c r="B32" s="32" t="n">
        <v>2</v>
      </c>
      <c r="C32" s="32" t="n">
        <v>2</v>
      </c>
      <c r="D32" s="32" t="n">
        <v>0</v>
      </c>
      <c r="E32" s="32" t="n">
        <v>2</v>
      </c>
      <c r="F32" s="32" t="n">
        <v>205.95</v>
      </c>
      <c r="G32" s="32" t="n">
        <v>237.48</v>
      </c>
      <c r="H32" s="32" t="n">
        <v>443.4299999999999</v>
      </c>
      <c r="I32" s="30" t="n"/>
      <c r="J32" s="30" t="n"/>
      <c r="K32" s="30" t="n"/>
    </row>
    <row r="33">
      <c r="A33" s="32" t="inlineStr">
        <is>
          <t>KITHU69</t>
        </is>
      </c>
      <c r="B33" s="32" t="n">
        <v>3</v>
      </c>
      <c r="C33" s="32" t="n">
        <v>0</v>
      </c>
      <c r="D33" s="32" t="n">
        <v>1</v>
      </c>
      <c r="E33" s="32" t="n">
        <v>2</v>
      </c>
      <c r="F33" s="32" t="n">
        <v>230.7</v>
      </c>
      <c r="G33" s="32" t="n">
        <v>198.86</v>
      </c>
      <c r="H33" s="32" t="n">
        <v>429.56</v>
      </c>
      <c r="I33" s="30" t="n"/>
      <c r="J33" s="30" t="n"/>
      <c r="K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</row>
    <row r="35">
      <c r="A35" s="32" t="n">
        <v>5</v>
      </c>
      <c r="B35" s="35" t="inlineStr">
        <is>
          <t>Indus Prime</t>
        </is>
      </c>
      <c r="C35" s="32" t="n">
        <v>4</v>
      </c>
      <c r="D35" s="32" t="n">
        <v>1</v>
      </c>
      <c r="E35" s="32" t="n">
        <v>3</v>
      </c>
      <c r="F35" s="32" t="n">
        <v>884.0700000000001</v>
      </c>
      <c r="G35" s="32" t="n">
        <v>0</v>
      </c>
      <c r="H35" s="32" t="n">
        <v>2</v>
      </c>
      <c r="I35" s="32" t="n">
        <v>1</v>
      </c>
      <c r="J35" s="32" t="n">
        <v>463.45</v>
      </c>
      <c r="K35" s="32" t="n">
        <v>420.62</v>
      </c>
    </row>
    <row r="36">
      <c r="A36" s="36" t="inlineStr">
        <is>
          <t>PLAYER STATISTICS</t>
        </is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</row>
    <row r="37">
      <c r="A37" s="37" t="inlineStr">
        <is>
          <t>Player</t>
        </is>
      </c>
      <c r="B37" s="37" t="inlineStr">
        <is>
          <t>Kills</t>
        </is>
      </c>
      <c r="C37" s="37" t="inlineStr">
        <is>
          <t>Assists</t>
        </is>
      </c>
      <c r="D37" s="37" t="inlineStr">
        <is>
          <t>CQB Kills</t>
        </is>
      </c>
      <c r="E37" s="37" t="inlineStr">
        <is>
          <t>LRB Kills</t>
        </is>
      </c>
      <c r="F37" s="37" t="inlineStr">
        <is>
          <t>CQB DMG</t>
        </is>
      </c>
      <c r="G37" s="37" t="inlineStr">
        <is>
          <t>LRB DMG</t>
        </is>
      </c>
      <c r="H37" s="37" t="inlineStr">
        <is>
          <t>Total DMG</t>
        </is>
      </c>
      <c r="I37" s="30" t="n"/>
      <c r="J37" s="30" t="n"/>
      <c r="K37" s="30" t="n"/>
    </row>
    <row r="38">
      <c r="A38" s="32" t="inlineStr">
        <is>
          <t>Live-With-Addi</t>
        </is>
      </c>
      <c r="B38" s="32" t="n">
        <v>0</v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104.43</v>
      </c>
      <c r="H38" s="32" t="n">
        <v>104.43</v>
      </c>
      <c r="I38" s="30" t="n"/>
      <c r="J38" s="30" t="n"/>
      <c r="K38" s="30" t="n"/>
    </row>
    <row r="39">
      <c r="A39" s="32" t="inlineStr">
        <is>
          <t>SONARkar98</t>
        </is>
      </c>
      <c r="B39" s="32" t="n">
        <v>0</v>
      </c>
      <c r="C39" s="32" t="n">
        <v>0</v>
      </c>
      <c r="D39" s="32" t="n">
        <v>0</v>
      </c>
      <c r="E39" s="32" t="n">
        <v>0</v>
      </c>
      <c r="F39" s="32" t="n">
        <v>154.42</v>
      </c>
      <c r="G39" s="32" t="n">
        <v>82.51000000000001</v>
      </c>
      <c r="H39" s="32" t="n">
        <v>236.93</v>
      </c>
      <c r="I39" s="30" t="n"/>
      <c r="J39" s="30" t="n"/>
      <c r="K39" s="30" t="n"/>
    </row>
    <row r="40">
      <c r="A40" s="32" t="inlineStr">
        <is>
          <t>Mr_Kol_Gamer</t>
        </is>
      </c>
      <c r="B40" s="32" t="n">
        <v>0</v>
      </c>
      <c r="C40" s="32" t="n">
        <v>0</v>
      </c>
      <c r="D40" s="32" t="n">
        <v>0</v>
      </c>
      <c r="E40" s="32" t="n">
        <v>0</v>
      </c>
      <c r="F40" s="32" t="n">
        <v>100</v>
      </c>
      <c r="G40" s="32" t="n">
        <v>49.61</v>
      </c>
      <c r="H40" s="32" t="n">
        <v>149.61</v>
      </c>
      <c r="I40" s="30" t="n"/>
      <c r="J40" s="30" t="n"/>
      <c r="K40" s="30" t="n"/>
    </row>
    <row r="41">
      <c r="A41" s="32" t="inlineStr">
        <is>
          <t>ReckLess_RV</t>
        </is>
      </c>
      <c r="B41" s="32" t="n">
        <v>3</v>
      </c>
      <c r="C41" s="32" t="n">
        <v>0</v>
      </c>
      <c r="D41" s="32" t="n">
        <v>2</v>
      </c>
      <c r="E41" s="32" t="n">
        <v>1</v>
      </c>
      <c r="F41" s="32" t="n">
        <v>209.04</v>
      </c>
      <c r="G41" s="32" t="n">
        <v>184.07</v>
      </c>
      <c r="H41" s="32" t="n">
        <v>393.11</v>
      </c>
      <c r="I41" s="30" t="n"/>
      <c r="J41" s="30" t="n"/>
      <c r="K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</row>
    <row r="43">
      <c r="A43" s="32" t="n">
        <v>6</v>
      </c>
      <c r="B43" s="35" t="inlineStr">
        <is>
          <t>SQUAD TWO</t>
        </is>
      </c>
      <c r="C43" s="32" t="n">
        <v>3</v>
      </c>
      <c r="D43" s="32" t="n">
        <v>3</v>
      </c>
      <c r="E43" s="32" t="n">
        <v>0</v>
      </c>
      <c r="F43" s="32" t="n">
        <v>295.8</v>
      </c>
      <c r="G43" s="32" t="n">
        <v>0</v>
      </c>
      <c r="H43" s="32" t="n">
        <v>0</v>
      </c>
      <c r="I43" s="32" t="n">
        <v>0</v>
      </c>
      <c r="J43" s="32" t="n">
        <v>252</v>
      </c>
      <c r="K43" s="32" t="n">
        <v>43.81</v>
      </c>
    </row>
    <row r="44">
      <c r="A44" s="36" t="inlineStr">
        <is>
          <t>PLAYER STATISTICS</t>
        </is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</row>
    <row r="45">
      <c r="A45" s="37" t="inlineStr">
        <is>
          <t>Player</t>
        </is>
      </c>
      <c r="B45" s="37" t="inlineStr">
        <is>
          <t>Kills</t>
        </is>
      </c>
      <c r="C45" s="37" t="inlineStr">
        <is>
          <t>Assists</t>
        </is>
      </c>
      <c r="D45" s="37" t="inlineStr">
        <is>
          <t>CQB Kills</t>
        </is>
      </c>
      <c r="E45" s="37" t="inlineStr">
        <is>
          <t>LRB Kills</t>
        </is>
      </c>
      <c r="F45" s="37" t="inlineStr">
        <is>
          <t>CQB DMG</t>
        </is>
      </c>
      <c r="G45" s="37" t="inlineStr">
        <is>
          <t>LRB DMG</t>
        </is>
      </c>
      <c r="H45" s="37" t="inlineStr">
        <is>
          <t>Total DMG</t>
        </is>
      </c>
      <c r="I45" s="30" t="n"/>
      <c r="J45" s="30" t="n"/>
      <c r="K45" s="30" t="n"/>
    </row>
    <row r="46">
      <c r="A46" s="32" t="inlineStr">
        <is>
          <t>D3NZZ0</t>
        </is>
      </c>
      <c r="B46" s="32" t="n">
        <v>0</v>
      </c>
      <c r="C46" s="32" t="n">
        <v>0</v>
      </c>
      <c r="D46" s="32" t="n">
        <v>0</v>
      </c>
      <c r="E46" s="32" t="n">
        <v>0</v>
      </c>
      <c r="F46" s="32" t="n">
        <v>69.73</v>
      </c>
      <c r="G46" s="32" t="n">
        <v>43.81</v>
      </c>
      <c r="H46" s="32" t="n">
        <v>113.54</v>
      </c>
      <c r="I46" s="30" t="n"/>
      <c r="J46" s="30" t="n"/>
      <c r="K46" s="30" t="n"/>
    </row>
    <row r="47">
      <c r="A47" s="32" t="inlineStr">
        <is>
          <t>ishowmikey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86.33</v>
      </c>
      <c r="G47" s="32" t="n">
        <v>0</v>
      </c>
      <c r="H47" s="32" t="n">
        <v>86.33</v>
      </c>
      <c r="I47" s="30" t="n"/>
      <c r="J47" s="30" t="n"/>
      <c r="K47" s="30" t="n"/>
    </row>
    <row r="48">
      <c r="A48" s="32" t="inlineStr">
        <is>
          <t>dashamulam_damu1</t>
        </is>
      </c>
      <c r="B48" s="32" t="n">
        <v>0</v>
      </c>
      <c r="C48" s="32" t="n">
        <v>0</v>
      </c>
      <c r="D48" s="32" t="n">
        <v>0</v>
      </c>
      <c r="E48" s="32" t="n">
        <v>0</v>
      </c>
      <c r="F48" s="32" t="n">
        <v>63.37</v>
      </c>
      <c r="G48" s="32" t="n">
        <v>0</v>
      </c>
      <c r="H48" s="32" t="n">
        <v>63.37</v>
      </c>
      <c r="I48" s="30" t="n"/>
      <c r="J48" s="30" t="n"/>
      <c r="K48" s="30" t="n"/>
    </row>
    <row r="49">
      <c r="A49" s="32" t="inlineStr">
        <is>
          <t>Nappally</t>
        </is>
      </c>
      <c r="B49" s="32" t="n">
        <v>0</v>
      </c>
      <c r="C49" s="32" t="n">
        <v>0</v>
      </c>
      <c r="D49" s="32" t="n">
        <v>0</v>
      </c>
      <c r="E49" s="32" t="n">
        <v>0</v>
      </c>
      <c r="F49" s="32" t="n">
        <v>32.57</v>
      </c>
      <c r="G49" s="32" t="n">
        <v>0</v>
      </c>
      <c r="H49" s="32" t="n">
        <v>32.57</v>
      </c>
      <c r="I49" s="30" t="n"/>
      <c r="J49" s="30" t="n"/>
      <c r="K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32" t="n">
        <v>7</v>
      </c>
      <c r="B51" s="35" t="inlineStr">
        <is>
          <t>POWER HOUSE</t>
        </is>
      </c>
      <c r="C51" s="32" t="n">
        <v>3</v>
      </c>
      <c r="D51" s="32" t="n">
        <v>2</v>
      </c>
      <c r="E51" s="32" t="n">
        <v>1</v>
      </c>
      <c r="F51" s="32" t="n">
        <v>245.77</v>
      </c>
      <c r="G51" s="32" t="n">
        <v>0</v>
      </c>
      <c r="H51" s="32" t="n">
        <v>0</v>
      </c>
      <c r="I51" s="32" t="n">
        <v>1</v>
      </c>
      <c r="J51" s="32" t="n">
        <v>140.72</v>
      </c>
      <c r="K51" s="32" t="n">
        <v>105.05</v>
      </c>
    </row>
    <row r="52">
      <c r="A52" s="36" t="inlineStr">
        <is>
          <t>PLAYER STATISTICS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37" t="inlineStr">
        <is>
          <t>Player</t>
        </is>
      </c>
      <c r="B53" s="37" t="inlineStr">
        <is>
          <t>Kills</t>
        </is>
      </c>
      <c r="C53" s="37" t="inlineStr">
        <is>
          <t>Assists</t>
        </is>
      </c>
      <c r="D53" s="37" t="inlineStr">
        <is>
          <t>CQB Kills</t>
        </is>
      </c>
      <c r="E53" s="37" t="inlineStr">
        <is>
          <t>LRB Kills</t>
        </is>
      </c>
      <c r="F53" s="37" t="inlineStr">
        <is>
          <t>CQB DMG</t>
        </is>
      </c>
      <c r="G53" s="37" t="inlineStr">
        <is>
          <t>LRB DMG</t>
        </is>
      </c>
      <c r="H53" s="37" t="inlineStr">
        <is>
          <t>Total DMG</t>
        </is>
      </c>
      <c r="I53" s="30" t="n"/>
      <c r="J53" s="30" t="n"/>
      <c r="K53" s="30" t="n"/>
    </row>
    <row r="54">
      <c r="A54" s="32" t="inlineStr">
        <is>
          <t>RDXisLIVE</t>
        </is>
      </c>
      <c r="B54" s="32" t="n">
        <v>0</v>
      </c>
      <c r="C54" s="32" t="n">
        <v>0</v>
      </c>
      <c r="D54" s="32" t="n">
        <v>0</v>
      </c>
      <c r="E54" s="32" t="n">
        <v>0</v>
      </c>
      <c r="F54" s="32" t="n">
        <v>0</v>
      </c>
      <c r="G54" s="32" t="n">
        <v>16.36</v>
      </c>
      <c r="H54" s="32" t="n">
        <v>16.36</v>
      </c>
      <c r="I54" s="30" t="n"/>
      <c r="J54" s="30" t="n"/>
      <c r="K54" s="30" t="n"/>
    </row>
    <row r="55">
      <c r="A55" s="32" t="inlineStr">
        <is>
          <t>1ts_GuNA</t>
        </is>
      </c>
      <c r="B55" s="32" t="n">
        <v>0</v>
      </c>
      <c r="C55" s="32" t="n">
        <v>0</v>
      </c>
      <c r="D55" s="32" t="n">
        <v>0</v>
      </c>
      <c r="E55" s="32" t="n">
        <v>0</v>
      </c>
      <c r="F55" s="32" t="n">
        <v>116.72</v>
      </c>
      <c r="G55" s="32" t="n">
        <v>0</v>
      </c>
      <c r="H55" s="32" t="n">
        <v>116.72</v>
      </c>
      <c r="I55" s="30" t="n"/>
      <c r="J55" s="30" t="n"/>
      <c r="K55" s="30" t="n"/>
    </row>
    <row r="56">
      <c r="A56" s="32" t="inlineStr">
        <is>
          <t>BeforeCrypto</t>
        </is>
      </c>
      <c r="B56" s="32" t="n">
        <v>1</v>
      </c>
      <c r="C56" s="32" t="n">
        <v>0</v>
      </c>
      <c r="D56" s="32" t="n">
        <v>0</v>
      </c>
      <c r="E56" s="32" t="n">
        <v>1</v>
      </c>
      <c r="F56" s="32" t="n">
        <v>24</v>
      </c>
      <c r="G56" s="32" t="n">
        <v>9.48</v>
      </c>
      <c r="H56" s="32" t="n">
        <v>33.48</v>
      </c>
      <c r="I56" s="30" t="n"/>
      <c r="J56" s="30" t="n"/>
      <c r="K56" s="30" t="n"/>
    </row>
    <row r="57">
      <c r="A57" s="32" t="inlineStr">
        <is>
          <t>Nasizmyt</t>
        </is>
      </c>
      <c r="B57" s="32" t="n">
        <v>0</v>
      </c>
      <c r="C57" s="32" t="n">
        <v>0</v>
      </c>
      <c r="D57" s="32" t="n">
        <v>0</v>
      </c>
      <c r="E57" s="32" t="n">
        <v>0</v>
      </c>
      <c r="F57" s="32" t="n">
        <v>0</v>
      </c>
      <c r="G57" s="32" t="n">
        <v>79.22</v>
      </c>
      <c r="H57" s="32" t="n">
        <v>79.22</v>
      </c>
      <c r="I57" s="30" t="n"/>
      <c r="J57" s="30" t="n"/>
      <c r="K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</row>
    <row r="59">
      <c r="A59" s="32" t="n">
        <v>8</v>
      </c>
      <c r="B59" s="35" t="inlineStr">
        <is>
          <t>A047</t>
        </is>
      </c>
      <c r="C59" s="32" t="n">
        <v>3</v>
      </c>
      <c r="D59" s="32" t="n">
        <v>1</v>
      </c>
      <c r="E59" s="32" t="n">
        <v>2</v>
      </c>
      <c r="F59" s="32" t="n">
        <v>1070.16</v>
      </c>
      <c r="G59" s="32" t="n">
        <v>1</v>
      </c>
      <c r="H59" s="32" t="n">
        <v>2</v>
      </c>
      <c r="I59" s="32" t="n">
        <v>0</v>
      </c>
      <c r="J59" s="32" t="n">
        <v>162.55</v>
      </c>
      <c r="K59" s="32" t="n">
        <v>907.61</v>
      </c>
    </row>
    <row r="60">
      <c r="A60" s="36" t="inlineStr">
        <is>
          <t>PLAYER STATISTICS</t>
        </is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</row>
    <row r="61">
      <c r="A61" s="37" t="inlineStr">
        <is>
          <t>Player</t>
        </is>
      </c>
      <c r="B61" s="37" t="inlineStr">
        <is>
          <t>Kills</t>
        </is>
      </c>
      <c r="C61" s="37" t="inlineStr">
        <is>
          <t>Assists</t>
        </is>
      </c>
      <c r="D61" s="37" t="inlineStr">
        <is>
          <t>CQB Kills</t>
        </is>
      </c>
      <c r="E61" s="37" t="inlineStr">
        <is>
          <t>LRB Kills</t>
        </is>
      </c>
      <c r="F61" s="37" t="inlineStr">
        <is>
          <t>CQB DMG</t>
        </is>
      </c>
      <c r="G61" s="37" t="inlineStr">
        <is>
          <t>LRB DMG</t>
        </is>
      </c>
      <c r="H61" s="37" t="inlineStr">
        <is>
          <t>Total DMG</t>
        </is>
      </c>
      <c r="I61" s="30" t="n"/>
      <c r="J61" s="30" t="n"/>
      <c r="K61" s="30" t="n"/>
    </row>
    <row r="62">
      <c r="A62" s="32" t="inlineStr">
        <is>
          <t>Yo_Rock_YT</t>
        </is>
      </c>
      <c r="B62" s="32" t="n">
        <v>1</v>
      </c>
      <c r="C62" s="32" t="n">
        <v>1</v>
      </c>
      <c r="D62" s="32" t="n">
        <v>1</v>
      </c>
      <c r="E62" s="32" t="n">
        <v>0</v>
      </c>
      <c r="F62" s="32" t="n">
        <v>76.13</v>
      </c>
      <c r="G62" s="32" t="n">
        <v>452.51</v>
      </c>
      <c r="H62" s="32" t="n">
        <v>528.64</v>
      </c>
      <c r="I62" s="30" t="n"/>
      <c r="J62" s="30" t="n"/>
      <c r="K62" s="30" t="n"/>
    </row>
    <row r="63">
      <c r="A63" s="32" t="inlineStr">
        <is>
          <t>RioFury_YT</t>
        </is>
      </c>
      <c r="B63" s="32" t="n">
        <v>1</v>
      </c>
      <c r="C63" s="32" t="n">
        <v>0</v>
      </c>
      <c r="D63" s="32" t="n">
        <v>1</v>
      </c>
      <c r="E63" s="32" t="n">
        <v>0</v>
      </c>
      <c r="F63" s="32" t="n">
        <v>64.84999999999999</v>
      </c>
      <c r="G63" s="32" t="n">
        <v>312.46</v>
      </c>
      <c r="H63" s="32" t="n">
        <v>377.3099999999999</v>
      </c>
      <c r="I63" s="30" t="n"/>
      <c r="J63" s="30" t="n"/>
      <c r="K63" s="30" t="n"/>
    </row>
    <row r="64">
      <c r="A64" s="32" t="inlineStr">
        <is>
          <t>l_SANTHISH_l005</t>
        </is>
      </c>
      <c r="B64" s="32" t="n">
        <v>0</v>
      </c>
      <c r="C64" s="32" t="n">
        <v>0</v>
      </c>
      <c r="D64" s="32" t="n">
        <v>0</v>
      </c>
      <c r="E64" s="32" t="n">
        <v>0</v>
      </c>
      <c r="F64" s="32" t="n">
        <v>0.89</v>
      </c>
      <c r="G64" s="32" t="n">
        <v>119.58</v>
      </c>
      <c r="H64" s="32" t="n">
        <v>120.47</v>
      </c>
      <c r="I64" s="30" t="n"/>
      <c r="J64" s="30" t="n"/>
      <c r="K64" s="30" t="n"/>
    </row>
    <row r="65">
      <c r="A65" s="32" t="inlineStr">
        <is>
          <t>TN_Itachi_Uchiha</t>
        </is>
      </c>
      <c r="B65" s="32" t="n">
        <v>0</v>
      </c>
      <c r="C65" s="32" t="n">
        <v>0</v>
      </c>
      <c r="D65" s="32" t="n">
        <v>0</v>
      </c>
      <c r="E65" s="32" t="n">
        <v>0</v>
      </c>
      <c r="F65" s="32" t="n">
        <v>20.68</v>
      </c>
      <c r="G65" s="32" t="n">
        <v>23.07</v>
      </c>
      <c r="H65" s="32" t="n">
        <v>43.75</v>
      </c>
      <c r="I65" s="30" t="n"/>
      <c r="J65" s="30" t="n"/>
      <c r="K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</row>
    <row r="67">
      <c r="A67" s="32" t="n">
        <v>9</v>
      </c>
      <c r="B67" s="35" t="inlineStr">
        <is>
          <t>SHONNANI'S</t>
        </is>
      </c>
      <c r="C67" s="32" t="n">
        <v>3</v>
      </c>
      <c r="D67" s="32" t="n">
        <v>0</v>
      </c>
      <c r="E67" s="32" t="n">
        <v>3</v>
      </c>
      <c r="F67" s="32" t="n">
        <v>595.46</v>
      </c>
      <c r="G67" s="32" t="n">
        <v>2</v>
      </c>
      <c r="H67" s="32" t="n">
        <v>3</v>
      </c>
      <c r="I67" s="32" t="n">
        <v>0</v>
      </c>
      <c r="J67" s="32" t="n">
        <v>573.23</v>
      </c>
      <c r="K67" s="32" t="n">
        <v>22.22</v>
      </c>
    </row>
    <row r="68">
      <c r="A68" s="36" t="inlineStr">
        <is>
          <t>PLAYER STATISTICS</t>
        </is>
      </c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</row>
    <row r="69">
      <c r="A69" s="37" t="inlineStr">
        <is>
          <t>Player</t>
        </is>
      </c>
      <c r="B69" s="37" t="inlineStr">
        <is>
          <t>Kills</t>
        </is>
      </c>
      <c r="C69" s="37" t="inlineStr">
        <is>
          <t>Assists</t>
        </is>
      </c>
      <c r="D69" s="37" t="inlineStr">
        <is>
          <t>CQB Kills</t>
        </is>
      </c>
      <c r="E69" s="37" t="inlineStr">
        <is>
          <t>LRB Kills</t>
        </is>
      </c>
      <c r="F69" s="37" t="inlineStr">
        <is>
          <t>CQB DMG</t>
        </is>
      </c>
      <c r="G69" s="37" t="inlineStr">
        <is>
          <t>LRB DMG</t>
        </is>
      </c>
      <c r="H69" s="37" t="inlineStr">
        <is>
          <t>Total DMG</t>
        </is>
      </c>
      <c r="I69" s="30" t="n"/>
      <c r="J69" s="30" t="n"/>
      <c r="K69" s="30" t="n"/>
    </row>
    <row r="70">
      <c r="A70" s="32" t="inlineStr">
        <is>
          <t>XXXTN-_-</t>
        </is>
      </c>
      <c r="B70" s="32" t="n">
        <v>2</v>
      </c>
      <c r="C70" s="32" t="n">
        <v>1</v>
      </c>
      <c r="D70" s="32" t="n">
        <v>2</v>
      </c>
      <c r="E70" s="32" t="n">
        <v>0</v>
      </c>
      <c r="F70" s="32" t="n">
        <v>264.6</v>
      </c>
      <c r="G70" s="32" t="n">
        <v>0</v>
      </c>
      <c r="H70" s="32" t="n">
        <v>264.6</v>
      </c>
      <c r="I70" s="30" t="n"/>
      <c r="J70" s="30" t="n"/>
      <c r="K70" s="30" t="n"/>
    </row>
    <row r="71">
      <c r="A71" s="32" t="inlineStr">
        <is>
          <t>K1LLUAAGOD</t>
        </is>
      </c>
      <c r="B71" s="32" t="n">
        <v>1</v>
      </c>
      <c r="C71" s="32" t="n">
        <v>1</v>
      </c>
      <c r="D71" s="32" t="n">
        <v>1</v>
      </c>
      <c r="E71" s="32" t="n">
        <v>0</v>
      </c>
      <c r="F71" s="32" t="n">
        <v>204.38</v>
      </c>
      <c r="G71" s="32" t="n">
        <v>0</v>
      </c>
      <c r="H71" s="32" t="n">
        <v>204.38</v>
      </c>
      <c r="I71" s="30" t="n"/>
      <c r="J71" s="30" t="n"/>
      <c r="K71" s="30" t="n"/>
    </row>
    <row r="72">
      <c r="A72" s="32" t="inlineStr">
        <is>
          <t>ZephyrX_op</t>
        </is>
      </c>
      <c r="B72" s="32" t="n">
        <v>0</v>
      </c>
      <c r="C72" s="32" t="n">
        <v>0</v>
      </c>
      <c r="D72" s="32" t="n">
        <v>0</v>
      </c>
      <c r="E72" s="32" t="n">
        <v>0</v>
      </c>
      <c r="F72" s="32" t="n">
        <v>104.26</v>
      </c>
      <c r="G72" s="32" t="n">
        <v>22.22</v>
      </c>
      <c r="H72" s="32" t="n">
        <v>126.48</v>
      </c>
      <c r="I72" s="30" t="n"/>
      <c r="J72" s="30" t="n"/>
      <c r="K72" s="30" t="n"/>
    </row>
    <row r="73">
      <c r="A73" s="32" t="inlineStr">
        <is>
          <t>F1REFLANK</t>
        </is>
      </c>
      <c r="B73" s="32" t="n">
        <v>0</v>
      </c>
      <c r="C73" s="32" t="n">
        <v>0</v>
      </c>
      <c r="D73" s="32" t="n">
        <v>0</v>
      </c>
      <c r="E73" s="32" t="n">
        <v>0</v>
      </c>
      <c r="F73" s="32" t="n">
        <v>0</v>
      </c>
      <c r="G73" s="32" t="n">
        <v>0</v>
      </c>
      <c r="H73" s="32" t="n">
        <v>0</v>
      </c>
      <c r="I73" s="30" t="n"/>
      <c r="J73" s="30" t="n"/>
      <c r="K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</row>
    <row r="75">
      <c r="A75" s="32" t="n">
        <v>10</v>
      </c>
      <c r="B75" s="35" t="inlineStr">
        <is>
          <t>UNKRITHI 2</t>
        </is>
      </c>
      <c r="C75" s="32" t="n">
        <v>1</v>
      </c>
      <c r="D75" s="32" t="n">
        <v>0</v>
      </c>
      <c r="E75" s="32" t="n">
        <v>1</v>
      </c>
      <c r="F75" s="32" t="n">
        <v>128.06</v>
      </c>
      <c r="G75" s="32" t="n">
        <v>0</v>
      </c>
      <c r="H75" s="32" t="n">
        <v>1</v>
      </c>
      <c r="I75" s="32" t="n">
        <v>0</v>
      </c>
      <c r="J75" s="32" t="n">
        <v>128.06</v>
      </c>
      <c r="K75" s="32" t="n">
        <v>0</v>
      </c>
    </row>
    <row r="76">
      <c r="A76" s="36" t="inlineStr">
        <is>
          <t>PLAYER STATISTICS</t>
        </is>
      </c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</row>
    <row r="77">
      <c r="A77" s="37" t="inlineStr">
        <is>
          <t>Player</t>
        </is>
      </c>
      <c r="B77" s="37" t="inlineStr">
        <is>
          <t>Kills</t>
        </is>
      </c>
      <c r="C77" s="37" t="inlineStr">
        <is>
          <t>Assists</t>
        </is>
      </c>
      <c r="D77" s="37" t="inlineStr">
        <is>
          <t>CQB Kills</t>
        </is>
      </c>
      <c r="E77" s="37" t="inlineStr">
        <is>
          <t>LRB Kills</t>
        </is>
      </c>
      <c r="F77" s="37" t="inlineStr">
        <is>
          <t>CQB DMG</t>
        </is>
      </c>
      <c r="G77" s="37" t="inlineStr">
        <is>
          <t>LRB DMG</t>
        </is>
      </c>
      <c r="H77" s="37" t="inlineStr">
        <is>
          <t>Total DMG</t>
        </is>
      </c>
      <c r="I77" s="30" t="n"/>
      <c r="J77" s="30" t="n"/>
      <c r="K77" s="30" t="n"/>
    </row>
    <row r="78">
      <c r="A78" s="32" t="inlineStr">
        <is>
          <t>Haikyuugaming</t>
        </is>
      </c>
      <c r="B78" s="32" t="n">
        <v>0</v>
      </c>
      <c r="C78" s="32" t="n">
        <v>0</v>
      </c>
      <c r="D78" s="32" t="n">
        <v>0</v>
      </c>
      <c r="E78" s="32" t="n">
        <v>0</v>
      </c>
      <c r="F78" s="32" t="n">
        <v>0</v>
      </c>
      <c r="G78" s="32" t="n">
        <v>0</v>
      </c>
      <c r="H78" s="32" t="n">
        <v>0</v>
      </c>
      <c r="I78" s="30" t="n"/>
      <c r="J78" s="30" t="n"/>
      <c r="K78" s="30" t="n"/>
    </row>
    <row r="79">
      <c r="A79" s="32" t="inlineStr">
        <is>
          <t>B12xTHUNDER</t>
        </is>
      </c>
      <c r="B79" s="32" t="n">
        <v>1</v>
      </c>
      <c r="C79" s="32" t="n">
        <v>0</v>
      </c>
      <c r="D79" s="32" t="n">
        <v>1</v>
      </c>
      <c r="E79" s="32" t="n">
        <v>0</v>
      </c>
      <c r="F79" s="32" t="n">
        <v>41.06</v>
      </c>
      <c r="G79" s="32" t="n">
        <v>0</v>
      </c>
      <c r="H79" s="32" t="n">
        <v>41.06</v>
      </c>
      <c r="I79" s="30" t="n"/>
      <c r="J79" s="30" t="n"/>
      <c r="K79" s="30" t="n"/>
    </row>
    <row r="80">
      <c r="A80" s="32" t="inlineStr">
        <is>
          <t>Artifex007</t>
        </is>
      </c>
      <c r="B80" s="32" t="n">
        <v>0</v>
      </c>
      <c r="C80" s="32" t="n">
        <v>0</v>
      </c>
      <c r="D80" s="32" t="n">
        <v>0</v>
      </c>
      <c r="E80" s="32" t="n">
        <v>0</v>
      </c>
      <c r="F80" s="32" t="n">
        <v>0</v>
      </c>
      <c r="G80" s="32" t="n">
        <v>0</v>
      </c>
      <c r="H80" s="32" t="n">
        <v>0</v>
      </c>
      <c r="I80" s="30" t="n"/>
      <c r="J80" s="30" t="n"/>
      <c r="K80" s="30" t="n"/>
    </row>
    <row r="81">
      <c r="A81" s="32" t="inlineStr">
        <is>
          <t>ziidaane</t>
        </is>
      </c>
      <c r="B81" s="32" t="n">
        <v>0</v>
      </c>
      <c r="C81" s="32" t="n">
        <v>0</v>
      </c>
      <c r="D81" s="32" t="n">
        <v>0</v>
      </c>
      <c r="E81" s="32" t="n">
        <v>0</v>
      </c>
      <c r="F81" s="32" t="n">
        <v>87</v>
      </c>
      <c r="G81" s="32" t="n">
        <v>0</v>
      </c>
      <c r="H81" s="32" t="n">
        <v>87</v>
      </c>
      <c r="I81" s="30" t="n"/>
      <c r="J81" s="30" t="n"/>
      <c r="K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</row>
    <row r="83">
      <c r="A83" s="32" t="n">
        <v>11</v>
      </c>
      <c r="B83" s="35" t="inlineStr">
        <is>
          <t>DEADSHOTS</t>
        </is>
      </c>
      <c r="C83" s="32" t="n">
        <v>0</v>
      </c>
      <c r="D83" s="32" t="n">
        <v>0</v>
      </c>
      <c r="E83" s="32" t="n">
        <v>0</v>
      </c>
      <c r="F83" s="32" t="n">
        <v>40.33</v>
      </c>
      <c r="G83" s="32" t="n">
        <v>0</v>
      </c>
      <c r="H83" s="32" t="n">
        <v>0</v>
      </c>
      <c r="I83" s="32" t="n">
        <v>0</v>
      </c>
      <c r="J83" s="32" t="n">
        <v>40.33</v>
      </c>
      <c r="K83" s="32" t="n">
        <v>0</v>
      </c>
    </row>
    <row r="84">
      <c r="A84" s="36" t="inlineStr">
        <is>
          <t>PLAYER STATISTICS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</row>
    <row r="85">
      <c r="A85" s="37" t="inlineStr">
        <is>
          <t>Player</t>
        </is>
      </c>
      <c r="B85" s="37" t="inlineStr">
        <is>
          <t>Kills</t>
        </is>
      </c>
      <c r="C85" s="37" t="inlineStr">
        <is>
          <t>Assists</t>
        </is>
      </c>
      <c r="D85" s="37" t="inlineStr">
        <is>
          <t>CQB Kills</t>
        </is>
      </c>
      <c r="E85" s="37" t="inlineStr">
        <is>
          <t>LRB Kills</t>
        </is>
      </c>
      <c r="F85" s="37" t="inlineStr">
        <is>
          <t>CQB DMG</t>
        </is>
      </c>
      <c r="G85" s="37" t="inlineStr">
        <is>
          <t>LRB DMG</t>
        </is>
      </c>
      <c r="H85" s="37" t="inlineStr">
        <is>
          <t>Total DMG</t>
        </is>
      </c>
      <c r="I85" s="30" t="n"/>
      <c r="J85" s="30" t="n"/>
      <c r="K85" s="30" t="n"/>
    </row>
    <row r="86">
      <c r="A86" s="32" t="inlineStr">
        <is>
          <t>CROWBOY_</t>
        </is>
      </c>
      <c r="B86" s="32" t="n">
        <v>0</v>
      </c>
      <c r="C86" s="32" t="n">
        <v>0</v>
      </c>
      <c r="D86" s="32" t="n">
        <v>0</v>
      </c>
      <c r="E86" s="32" t="n">
        <v>0</v>
      </c>
      <c r="F86" s="32" t="n">
        <v>11.22</v>
      </c>
      <c r="G86" s="32" t="n">
        <v>0</v>
      </c>
      <c r="H86" s="32" t="n">
        <v>11.22</v>
      </c>
      <c r="I86" s="30" t="n"/>
      <c r="J86" s="30" t="n"/>
      <c r="K86" s="30" t="n"/>
    </row>
    <row r="87">
      <c r="A87" s="32" t="inlineStr">
        <is>
          <t>GAMER-LEVI-YT</t>
        </is>
      </c>
      <c r="B87" s="32" t="n">
        <v>0</v>
      </c>
      <c r="C87" s="32" t="n">
        <v>0</v>
      </c>
      <c r="D87" s="32" t="n">
        <v>0</v>
      </c>
      <c r="E87" s="32" t="n">
        <v>0</v>
      </c>
      <c r="F87" s="32" t="n">
        <v>0</v>
      </c>
      <c r="G87" s="32" t="n">
        <v>0</v>
      </c>
      <c r="H87" s="32" t="n">
        <v>0</v>
      </c>
      <c r="I87" s="30" t="n"/>
      <c r="J87" s="30" t="n"/>
      <c r="K87" s="30" t="n"/>
    </row>
    <row r="88">
      <c r="A88" s="32" t="inlineStr">
        <is>
          <t>StoneD-_-MonkeY</t>
        </is>
      </c>
      <c r="B88" s="32" t="n">
        <v>0</v>
      </c>
      <c r="C88" s="32" t="n">
        <v>0</v>
      </c>
      <c r="D88" s="32" t="n">
        <v>0</v>
      </c>
      <c r="E88" s="32" t="n">
        <v>0</v>
      </c>
      <c r="F88" s="32" t="n">
        <v>0</v>
      </c>
      <c r="G88" s="32" t="n">
        <v>0</v>
      </c>
      <c r="H88" s="32" t="n">
        <v>0</v>
      </c>
      <c r="I88" s="30" t="n"/>
      <c r="J88" s="30" t="n"/>
      <c r="K88" s="30" t="n"/>
    </row>
    <row r="89">
      <c r="A89" s="32" t="inlineStr">
        <is>
          <t>AtomRock</t>
        </is>
      </c>
      <c r="B89" s="32" t="n">
        <v>0</v>
      </c>
      <c r="C89" s="32" t="n">
        <v>0</v>
      </c>
      <c r="D89" s="32" t="n">
        <v>0</v>
      </c>
      <c r="E89" s="32" t="n">
        <v>0</v>
      </c>
      <c r="F89" s="32" t="n">
        <v>29.11</v>
      </c>
      <c r="G89" s="32" t="n">
        <v>0</v>
      </c>
      <c r="H89" s="32" t="n">
        <v>29.11</v>
      </c>
      <c r="I89" s="30" t="n"/>
      <c r="J89" s="30" t="n"/>
      <c r="K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</row>
    <row r="91">
      <c r="A91" s="32" t="n">
        <v>12</v>
      </c>
      <c r="B91" s="35" t="inlineStr">
        <is>
          <t>CITY TIGERS X</t>
        </is>
      </c>
      <c r="C91" s="32" t="n">
        <v>0</v>
      </c>
      <c r="D91" s="32" t="n">
        <v>0</v>
      </c>
      <c r="E91" s="32" t="n">
        <v>0</v>
      </c>
      <c r="F91" s="32" t="n">
        <v>256.38</v>
      </c>
      <c r="G91" s="32" t="n">
        <v>0</v>
      </c>
      <c r="H91" s="32" t="n">
        <v>0</v>
      </c>
      <c r="I91" s="32" t="n">
        <v>0</v>
      </c>
      <c r="J91" s="32" t="n">
        <v>223.07</v>
      </c>
      <c r="K91" s="32" t="n">
        <v>33.3</v>
      </c>
    </row>
    <row r="92">
      <c r="A92" s="36" t="inlineStr">
        <is>
          <t>PLAYER STATISTICS</t>
        </is>
      </c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</row>
    <row r="93">
      <c r="A93" s="37" t="inlineStr">
        <is>
          <t>Player</t>
        </is>
      </c>
      <c r="B93" s="37" t="inlineStr">
        <is>
          <t>Kills</t>
        </is>
      </c>
      <c r="C93" s="37" t="inlineStr">
        <is>
          <t>Assists</t>
        </is>
      </c>
      <c r="D93" s="37" t="inlineStr">
        <is>
          <t>CQB Kills</t>
        </is>
      </c>
      <c r="E93" s="37" t="inlineStr">
        <is>
          <t>LRB Kills</t>
        </is>
      </c>
      <c r="F93" s="37" t="inlineStr">
        <is>
          <t>CQB DMG</t>
        </is>
      </c>
      <c r="G93" s="37" t="inlineStr">
        <is>
          <t>LRB DMG</t>
        </is>
      </c>
      <c r="H93" s="37" t="inlineStr">
        <is>
          <t>Total DMG</t>
        </is>
      </c>
      <c r="I93" s="30" t="n"/>
      <c r="J93" s="30" t="n"/>
      <c r="K93" s="30" t="n"/>
    </row>
    <row r="94">
      <c r="A94" s="32" t="inlineStr">
        <is>
          <t>Zo_r0_</t>
        </is>
      </c>
      <c r="B94" s="32" t="n">
        <v>0</v>
      </c>
      <c r="C94" s="32" t="n">
        <v>0</v>
      </c>
      <c r="D94" s="32" t="n">
        <v>0</v>
      </c>
      <c r="E94" s="32" t="n">
        <v>0</v>
      </c>
      <c r="F94" s="32" t="n">
        <v>95.04000000000001</v>
      </c>
      <c r="G94" s="32" t="n">
        <v>0</v>
      </c>
      <c r="H94" s="32" t="n">
        <v>95.04000000000001</v>
      </c>
      <c r="I94" s="30" t="n"/>
      <c r="J94" s="30" t="n"/>
      <c r="K94" s="30" t="n"/>
    </row>
    <row r="95">
      <c r="A95" s="32" t="inlineStr">
        <is>
          <t>SRhunter72</t>
        </is>
      </c>
      <c r="B95" s="32" t="n">
        <v>0</v>
      </c>
      <c r="C95" s="32" t="n">
        <v>0</v>
      </c>
      <c r="D95" s="32" t="n">
        <v>0</v>
      </c>
      <c r="E95" s="32" t="n">
        <v>0</v>
      </c>
      <c r="F95" s="32" t="n">
        <v>95</v>
      </c>
      <c r="G95" s="32" t="n">
        <v>0</v>
      </c>
      <c r="H95" s="32" t="n">
        <v>95</v>
      </c>
      <c r="I95" s="30" t="n"/>
      <c r="J95" s="30" t="n"/>
      <c r="K95" s="30" t="n"/>
    </row>
    <row r="96">
      <c r="A96" s="32" t="inlineStr">
        <is>
          <t>YouTube__Lynx</t>
        </is>
      </c>
      <c r="B96" s="32" t="n">
        <v>0</v>
      </c>
      <c r="C96" s="32" t="n">
        <v>0</v>
      </c>
      <c r="D96" s="32" t="n">
        <v>0</v>
      </c>
      <c r="E96" s="32" t="n">
        <v>0</v>
      </c>
      <c r="F96" s="32" t="n">
        <v>33.03</v>
      </c>
      <c r="G96" s="32" t="n">
        <v>0</v>
      </c>
      <c r="H96" s="32" t="n">
        <v>33.03</v>
      </c>
      <c r="I96" s="30" t="n"/>
      <c r="J96" s="30" t="n"/>
      <c r="K96" s="30" t="n"/>
    </row>
    <row r="97">
      <c r="A97" s="32" t="inlineStr">
        <is>
          <t>K_Y_R_O63</t>
        </is>
      </c>
      <c r="B97" s="32" t="n">
        <v>0</v>
      </c>
      <c r="C97" s="32" t="n">
        <v>0</v>
      </c>
      <c r="D97" s="32" t="n">
        <v>0</v>
      </c>
      <c r="E97" s="32" t="n">
        <v>0</v>
      </c>
      <c r="F97" s="32" t="n">
        <v>0</v>
      </c>
      <c r="G97" s="32" t="n">
        <v>33.3</v>
      </c>
      <c r="H97" s="32" t="n">
        <v>33.3</v>
      </c>
      <c r="I97" s="30" t="n"/>
      <c r="J97" s="30" t="n"/>
      <c r="K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</row>
    <row r="99">
      <c r="A99" s="32" t="n">
        <v>13</v>
      </c>
      <c r="B99" s="35" t="inlineStr">
        <is>
          <t>AIMLEGIT</t>
        </is>
      </c>
      <c r="C99" s="32" t="n">
        <v>0</v>
      </c>
      <c r="D99" s="32" t="n">
        <v>0</v>
      </c>
      <c r="E99" s="32" t="n">
        <v>0</v>
      </c>
      <c r="F99" s="32" t="n">
        <v>495.3</v>
      </c>
      <c r="G99" s="32" t="n">
        <v>0</v>
      </c>
      <c r="H99" s="32" t="n">
        <v>0</v>
      </c>
      <c r="I99" s="32" t="n">
        <v>0</v>
      </c>
      <c r="J99" s="32" t="n">
        <v>468.67</v>
      </c>
      <c r="K99" s="32" t="n">
        <v>26.64</v>
      </c>
    </row>
    <row r="100">
      <c r="A100" s="36" t="inlineStr">
        <is>
          <t>PLAYER STATISTICS</t>
        </is>
      </c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</row>
    <row r="101">
      <c r="A101" s="37" t="inlineStr">
        <is>
          <t>Player</t>
        </is>
      </c>
      <c r="B101" s="37" t="inlineStr">
        <is>
          <t>Kills</t>
        </is>
      </c>
      <c r="C101" s="37" t="inlineStr">
        <is>
          <t>Assists</t>
        </is>
      </c>
      <c r="D101" s="37" t="inlineStr">
        <is>
          <t>CQB Kills</t>
        </is>
      </c>
      <c r="E101" s="37" t="inlineStr">
        <is>
          <t>LRB Kills</t>
        </is>
      </c>
      <c r="F101" s="37" t="inlineStr">
        <is>
          <t>CQB DMG</t>
        </is>
      </c>
      <c r="G101" s="37" t="inlineStr">
        <is>
          <t>LRB DMG</t>
        </is>
      </c>
      <c r="H101" s="37" t="inlineStr">
        <is>
          <t>Total DMG</t>
        </is>
      </c>
      <c r="I101" s="30" t="n"/>
      <c r="J101" s="30" t="n"/>
      <c r="K101" s="30" t="n"/>
    </row>
    <row r="102">
      <c r="A102" s="32" t="inlineStr">
        <is>
          <t>WEeZzEe-</t>
        </is>
      </c>
      <c r="B102" s="32" t="n">
        <v>0</v>
      </c>
      <c r="C102" s="32" t="n">
        <v>0</v>
      </c>
      <c r="D102" s="32" t="n">
        <v>0</v>
      </c>
      <c r="E102" s="32" t="n">
        <v>0</v>
      </c>
      <c r="F102" s="32" t="n">
        <v>46.8</v>
      </c>
      <c r="G102" s="32" t="n">
        <v>14.51</v>
      </c>
      <c r="H102" s="32" t="n">
        <v>61.31</v>
      </c>
      <c r="I102" s="30" t="n"/>
      <c r="J102" s="30" t="n"/>
      <c r="K102" s="30" t="n"/>
    </row>
    <row r="103">
      <c r="A103" s="32" t="inlineStr">
        <is>
          <t>K1NGX-_-X</t>
        </is>
      </c>
      <c r="B103" s="32" t="n">
        <v>0</v>
      </c>
      <c r="C103" s="32" t="n">
        <v>0</v>
      </c>
      <c r="D103" s="32" t="n">
        <v>0</v>
      </c>
      <c r="E103" s="32" t="n">
        <v>0</v>
      </c>
      <c r="F103" s="32" t="n">
        <v>0</v>
      </c>
      <c r="G103" s="32" t="n">
        <v>0</v>
      </c>
      <c r="H103" s="32" t="n">
        <v>0</v>
      </c>
      <c r="I103" s="30" t="n"/>
      <c r="J103" s="30" t="n"/>
      <c r="K103" s="30" t="n"/>
    </row>
    <row r="104">
      <c r="A104" s="32" t="inlineStr">
        <is>
          <t>KOHL1_-</t>
        </is>
      </c>
      <c r="B104" s="32" t="n">
        <v>0</v>
      </c>
      <c r="C104" s="32" t="n">
        <v>0</v>
      </c>
      <c r="D104" s="32" t="n">
        <v>0</v>
      </c>
      <c r="E104" s="32" t="n">
        <v>0</v>
      </c>
      <c r="F104" s="32" t="n">
        <v>421.87</v>
      </c>
      <c r="G104" s="32" t="n">
        <v>0</v>
      </c>
      <c r="H104" s="32" t="n">
        <v>421.87</v>
      </c>
      <c r="I104" s="30" t="n"/>
      <c r="J104" s="30" t="n"/>
      <c r="K104" s="30" t="n"/>
    </row>
    <row r="105">
      <c r="A105" s="32" t="inlineStr">
        <is>
          <t>Deathrill-</t>
        </is>
      </c>
      <c r="B105" s="32" t="n">
        <v>0</v>
      </c>
      <c r="C105" s="32" t="n">
        <v>0</v>
      </c>
      <c r="D105" s="32" t="n">
        <v>0</v>
      </c>
      <c r="E105" s="32" t="n">
        <v>0</v>
      </c>
      <c r="F105" s="32" t="n">
        <v>0</v>
      </c>
      <c r="G105" s="32" t="n">
        <v>12.12</v>
      </c>
      <c r="H105" s="32" t="n">
        <v>12.12</v>
      </c>
      <c r="I105" s="30" t="n"/>
      <c r="J105" s="30" t="n"/>
      <c r="K105" s="30" t="n"/>
    </row>
  </sheetData>
  <autoFilter ref="A3:K106"/>
  <mergeCells count="14">
    <mergeCell ref="A1:H1"/>
    <mergeCell ref="A100:K100"/>
    <mergeCell ref="A92:K92"/>
    <mergeCell ref="A21:K21"/>
    <mergeCell ref="A29:K29"/>
    <mergeCell ref="A68:K68"/>
    <mergeCell ref="A52:K52"/>
    <mergeCell ref="A60:K60"/>
    <mergeCell ref="A76:K76"/>
    <mergeCell ref="A13:K13"/>
    <mergeCell ref="A84:K84"/>
    <mergeCell ref="A44:K44"/>
    <mergeCell ref="A5:K5"/>
    <mergeCell ref="A36:K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B | AvsB_M2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B | AvsB_M3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B | AvsB_M4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B | AvsB_M5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B | AvsB_M6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C vs D | CvsD_M1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C vs D | CvsD_M2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C vs D | CvsD_M3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C vs D | CvsD_M4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C vs D | CvsD_M5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C vs D | CvsD_M6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C | AvsC_M1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C | AvsC_M2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C | AvsC_M3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C | AvsC_M4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C | AvsC_M5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C | AvsC_M6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D | BvsD_M1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D | BvsD_M2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D | BvsD_M3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D | BvsD_M4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D | BvsD_M5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D | BvsD_M6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D | AvsD_M1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D | AvsD_M2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D | AvsD_M3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D | AvsD_M4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D | AvsD_M5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A vs D | AvsD_M6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C | BvsC_M1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C | BvsC_M2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C | BvsC_M3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C | BvsC_M4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C | BvsC_M5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16" customWidth="1" min="4" max="4"/>
    <col width="10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13" customWidth="1" min="11" max="11"/>
  </cols>
  <sheetData>
    <row r="1" ht="28" customHeight="1">
      <c r="A1" s="33" t="inlineStr">
        <is>
          <t>SQUADONE ESPORTS | B vs C | BvsC_M6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>
      <c r="A3" s="34" t="inlineStr">
        <is>
          <t>#</t>
        </is>
      </c>
      <c r="B3" s="34" t="inlineStr">
        <is>
          <t>Team</t>
        </is>
      </c>
      <c r="C3" s="34" t="inlineStr">
        <is>
          <t>Total PTS</t>
        </is>
      </c>
      <c r="D3" s="34" t="inlineStr">
        <is>
          <t>Placement PTS</t>
        </is>
      </c>
      <c r="E3" s="34" t="inlineStr">
        <is>
          <t>Kills</t>
        </is>
      </c>
      <c r="F3" s="34" t="inlineStr">
        <is>
          <t>Total DMG</t>
        </is>
      </c>
      <c r="G3" s="34" t="inlineStr">
        <is>
          <t>Assists</t>
        </is>
      </c>
      <c r="H3" s="34" t="inlineStr">
        <is>
          <t>CQB Kills</t>
        </is>
      </c>
      <c r="I3" s="34" t="inlineStr">
        <is>
          <t>LRB Kills</t>
        </is>
      </c>
      <c r="J3" s="34" t="inlineStr">
        <is>
          <t>CQB DMG</t>
        </is>
      </c>
      <c r="K3" s="34" t="inlineStr">
        <is>
          <t>LRB DMG</t>
        </is>
      </c>
    </row>
    <row r="4">
      <c r="A4" s="38" t="inlineStr">
        <is>
          <t>Enter team results above, then place that team's player cards directly underneath.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</sheetData>
  <autoFilter ref="A3:K3"/>
  <mergeCells count="1"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3" customWidth="1" min="4" max="4"/>
    <col width="16" customWidth="1" min="5" max="5"/>
    <col width="10" customWidth="1" min="6" max="6"/>
    <col width="15" customWidth="1" min="7" max="7"/>
    <col width="11" customWidth="1" min="8" max="8"/>
    <col width="13" customWidth="1" min="9" max="9"/>
    <col width="12" customWidth="1" min="10" max="10"/>
  </cols>
  <sheetData>
    <row r="1" ht="28" customHeight="1">
      <c r="A1" s="33" t="inlineStr">
        <is>
          <t>OVERALL QUALIFIERS LEADERBOARD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</row>
    <row r="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</row>
    <row r="3">
      <c r="A3" s="36" t="inlineStr">
        <is>
          <t>Rank</t>
        </is>
      </c>
      <c r="B3" s="36" t="inlineStr">
        <is>
          <t>Team</t>
        </is>
      </c>
      <c r="C3" s="36" t="inlineStr">
        <is>
          <t>Matches</t>
        </is>
      </c>
      <c r="D3" s="36" t="inlineStr">
        <is>
          <t>Total PTS</t>
        </is>
      </c>
      <c r="E3" s="36" t="inlineStr">
        <is>
          <t>Placement PTS</t>
        </is>
      </c>
      <c r="F3" s="36" t="inlineStr">
        <is>
          <t>Kills</t>
        </is>
      </c>
      <c r="G3" s="36" t="inlineStr">
        <is>
          <t>Total DMG</t>
        </is>
      </c>
      <c r="H3" s="36" t="inlineStr">
        <is>
          <t>Assists</t>
        </is>
      </c>
      <c r="I3" s="36" t="inlineStr">
        <is>
          <t>CQB Kills</t>
        </is>
      </c>
      <c r="J3" s="36" t="inlineStr">
        <is>
          <t>LRB Kills</t>
        </is>
      </c>
    </row>
    <row r="4">
      <c r="A4" s="32" t="n">
        <v>1</v>
      </c>
      <c r="B4" s="32" t="inlineStr">
        <is>
          <t>A047</t>
        </is>
      </c>
      <c r="C4" s="32">
        <f>COUNTIF('AvsB_M1'!$B$4:$B$100,B4)+COUNTIF('AvsB_M2'!$B$4:$B$100,B4)+COUNTIF('AvsB_M3'!$B$4:$B$100,B4)+COUNTIF('AvsB_M4'!$B$4:$B$100,B4)+COUNTIF('AvsB_M5'!$B$4:$B$100,B4)+COUNTIF('AvsB_M6'!$B$4:$B$100,B4)+COUNTIF('CvsD_M1'!$B$4:$B$100,B4)+COUNTIF('CvsD_M2'!$B$4:$B$100,B4)+COUNTIF('CvsD_M3'!$B$4:$B$100,B4)+COUNTIF('CvsD_M4'!$B$4:$B$100,B4)+COUNTIF('CvsD_M5'!$B$4:$B$100,B4)+COUNTIF('CvsD_M6'!$B$4:$B$100,B4)+COUNTIF('AvsC_M1'!$B$4:$B$100,B4)+COUNTIF('AvsC_M2'!$B$4:$B$100,B4)+COUNTIF('AvsC_M3'!$B$4:$B$100,B4)+COUNTIF('AvsC_M4'!$B$4:$B$100,B4)+COUNTIF('AvsC_M5'!$B$4:$B$100,B4)+COUNTIF('AvsC_M6'!$B$4:$B$100,B4)+COUNTIF('BvsD_M1'!$B$4:$B$100,B4)+COUNTIF('BvsD_M2'!$B$4:$B$100,B4)+COUNTIF('BvsD_M3'!$B$4:$B$100,B4)+COUNTIF('BvsD_M4'!$B$4:$B$100,B4)+COUNTIF('BvsD_M5'!$B$4:$B$100,B4)+COUNTIF('BvsD_M6'!$B$4:$B$100,B4)+COUNTIF('AvsD_M1'!$B$4:$B$100,B4)+COUNTIF('AvsD_M2'!$B$4:$B$100,B4)+COUNTIF('AvsD_M3'!$B$4:$B$100,B4)+COUNTIF('AvsD_M4'!$B$4:$B$100,B4)+COUNTIF('AvsD_M5'!$B$4:$B$100,B4)+COUNTIF('AvsD_M6'!$B$4:$B$100,B4)+COUNTIF('BvsC_M1'!$B$4:$B$100,B4)+COUNTIF('BvsC_M2'!$B$4:$B$100,B4)+COUNTIF('BvsC_M3'!$B$4:$B$100,B4)+COUNTIF('BvsC_M4'!$B$4:$B$100,B4)+COUNTIF('BvsC_M5'!$B$4:$B$100,B4)+COUNTIF('BvsC_M6'!$B$4:$B$100,B4)</f>
        <v/>
      </c>
      <c r="D4" s="32">
        <f>SUMIF('AvsB_M1'!$B$4:$B$100,B4,'AvsB_M1'!$C$4:$C$100)+SUMIF('AvsB_M2'!$B$4:$B$100,B4,'AvsB_M2'!$C$4:$C$100)+SUMIF('AvsB_M3'!$B$4:$B$100,B4,'AvsB_M3'!$C$4:$C$100)+SUMIF('AvsB_M4'!$B$4:$B$100,B4,'AvsB_M4'!$C$4:$C$100)+SUMIF('AvsB_M5'!$B$4:$B$100,B4,'AvsB_M5'!$C$4:$C$100)+SUMIF('AvsB_M6'!$B$4:$B$100,B4,'AvsB_M6'!$C$4:$C$100)+SUMIF('CvsD_M1'!$B$4:$B$100,B4,'CvsD_M1'!$C$4:$C$100)+SUMIF('CvsD_M2'!$B$4:$B$100,B4,'CvsD_M2'!$C$4:$C$100)+SUMIF('CvsD_M3'!$B$4:$B$100,B4,'CvsD_M3'!$C$4:$C$100)+SUMIF('CvsD_M4'!$B$4:$B$100,B4,'CvsD_M4'!$C$4:$C$100)+SUMIF('CvsD_M5'!$B$4:$B$100,B4,'CvsD_M5'!$C$4:$C$100)+SUMIF('CvsD_M6'!$B$4:$B$100,B4,'CvsD_M6'!$C$4:$C$100)+SUMIF('AvsC_M1'!$B$4:$B$100,B4,'AvsC_M1'!$C$4:$C$100)+SUMIF('AvsC_M2'!$B$4:$B$100,B4,'AvsC_M2'!$C$4:$C$100)+SUMIF('AvsC_M3'!$B$4:$B$100,B4,'AvsC_M3'!$C$4:$C$100)+SUMIF('AvsC_M4'!$B$4:$B$100,B4,'AvsC_M4'!$C$4:$C$100)+SUMIF('AvsC_M5'!$B$4:$B$100,B4,'AvsC_M5'!$C$4:$C$100)+SUMIF('AvsC_M6'!$B$4:$B$100,B4,'AvsC_M6'!$C$4:$C$100)+SUMIF('BvsD_M1'!$B$4:$B$100,B4,'BvsD_M1'!$C$4:$C$100)+SUMIF('BvsD_M2'!$B$4:$B$100,B4,'BvsD_M2'!$C$4:$C$100)+SUMIF('BvsD_M3'!$B$4:$B$100,B4,'BvsD_M3'!$C$4:$C$100)+SUMIF('BvsD_M4'!$B$4:$B$100,B4,'BvsD_M4'!$C$4:$C$100)+SUMIF('BvsD_M5'!$B$4:$B$100,B4,'BvsD_M5'!$C$4:$C$100)+SUMIF('BvsD_M6'!$B$4:$B$100,B4,'BvsD_M6'!$C$4:$C$100)+SUMIF('AvsD_M1'!$B$4:$B$100,B4,'AvsD_M1'!$C$4:$C$100)+SUMIF('AvsD_M2'!$B$4:$B$100,B4,'AvsD_M2'!$C$4:$C$100)+SUMIF('AvsD_M3'!$B$4:$B$100,B4,'AvsD_M3'!$C$4:$C$100)+SUMIF('AvsD_M4'!$B$4:$B$100,B4,'AvsD_M4'!$C$4:$C$100)+SUMIF('AvsD_M5'!$B$4:$B$100,B4,'AvsD_M5'!$C$4:$C$100)+SUMIF('AvsD_M6'!$B$4:$B$100,B4,'AvsD_M6'!$C$4:$C$100)+SUMIF('BvsC_M1'!$B$4:$B$100,B4,'BvsC_M1'!$C$4:$C$100)+SUMIF('BvsC_M2'!$B$4:$B$100,B4,'BvsC_M2'!$C$4:$C$100)+SUMIF('BvsC_M3'!$B$4:$B$100,B4,'BvsC_M3'!$C$4:$C$100)+SUMIF('BvsC_M4'!$B$4:$B$100,B4,'BvsC_M4'!$C$4:$C$100)+SUMIF('BvsC_M5'!$B$4:$B$100,B4,'BvsC_M5'!$C$4:$C$100)+SUMIF('BvsC_M6'!$B$4:$B$100,B4,'BvsC_M6'!$C$4:$C$100)</f>
        <v/>
      </c>
      <c r="E4" s="32">
        <f>SUMIF('AvsB_M1'!$B$4:$B$100,B4,'AvsB_M1'!$D$4:$D$100)+SUMIF('AvsB_M2'!$B$4:$B$100,B4,'AvsB_M2'!$D$4:$D$100)+SUMIF('AvsB_M3'!$B$4:$B$100,B4,'AvsB_M3'!$D$4:$D$100)+SUMIF('AvsB_M4'!$B$4:$B$100,B4,'AvsB_M4'!$D$4:$D$100)+SUMIF('AvsB_M5'!$B$4:$B$100,B4,'AvsB_M5'!$D$4:$D$100)+SUMIF('AvsB_M6'!$B$4:$B$100,B4,'AvsB_M6'!$D$4:$D$100)+SUMIF('CvsD_M1'!$B$4:$B$100,B4,'CvsD_M1'!$D$4:$D$100)+SUMIF('CvsD_M2'!$B$4:$B$100,B4,'CvsD_M2'!$D$4:$D$100)+SUMIF('CvsD_M3'!$B$4:$B$100,B4,'CvsD_M3'!$D$4:$D$100)+SUMIF('CvsD_M4'!$B$4:$B$100,B4,'CvsD_M4'!$D$4:$D$100)+SUMIF('CvsD_M5'!$B$4:$B$100,B4,'CvsD_M5'!$D$4:$D$100)+SUMIF('CvsD_M6'!$B$4:$B$100,B4,'CvsD_M6'!$D$4:$D$100)+SUMIF('AvsC_M1'!$B$4:$B$100,B4,'AvsC_M1'!$D$4:$D$100)+SUMIF('AvsC_M2'!$B$4:$B$100,B4,'AvsC_M2'!$D$4:$D$100)+SUMIF('AvsC_M3'!$B$4:$B$100,B4,'AvsC_M3'!$D$4:$D$100)+SUMIF('AvsC_M4'!$B$4:$B$100,B4,'AvsC_M4'!$D$4:$D$100)+SUMIF('AvsC_M5'!$B$4:$B$100,B4,'AvsC_M5'!$D$4:$D$100)+SUMIF('AvsC_M6'!$B$4:$B$100,B4,'AvsC_M6'!$D$4:$D$100)+SUMIF('BvsD_M1'!$B$4:$B$100,B4,'BvsD_M1'!$D$4:$D$100)+SUMIF('BvsD_M2'!$B$4:$B$100,B4,'BvsD_M2'!$D$4:$D$100)+SUMIF('BvsD_M3'!$B$4:$B$100,B4,'BvsD_M3'!$D$4:$D$100)+SUMIF('BvsD_M4'!$B$4:$B$100,B4,'BvsD_M4'!$D$4:$D$100)+SUMIF('BvsD_M5'!$B$4:$B$100,B4,'BvsD_M5'!$D$4:$D$100)+SUMIF('BvsD_M6'!$B$4:$B$100,B4,'BvsD_M6'!$D$4:$D$100)+SUMIF('AvsD_M1'!$B$4:$B$100,B4,'AvsD_M1'!$D$4:$D$100)+SUMIF('AvsD_M2'!$B$4:$B$100,B4,'AvsD_M2'!$D$4:$D$100)+SUMIF('AvsD_M3'!$B$4:$B$100,B4,'AvsD_M3'!$D$4:$D$100)+SUMIF('AvsD_M4'!$B$4:$B$100,B4,'AvsD_M4'!$D$4:$D$100)+SUMIF('AvsD_M5'!$B$4:$B$100,B4,'AvsD_M5'!$D$4:$D$100)+SUMIF('AvsD_M6'!$B$4:$B$100,B4,'AvsD_M6'!$D$4:$D$100)+SUMIF('BvsC_M1'!$B$4:$B$100,B4,'BvsC_M1'!$D$4:$D$100)+SUMIF('BvsC_M2'!$B$4:$B$100,B4,'BvsC_M2'!$D$4:$D$100)+SUMIF('BvsC_M3'!$B$4:$B$100,B4,'BvsC_M3'!$D$4:$D$100)+SUMIF('BvsC_M4'!$B$4:$B$100,B4,'BvsC_M4'!$D$4:$D$100)+SUMIF('BvsC_M5'!$B$4:$B$100,B4,'BvsC_M5'!$D$4:$D$100)+SUMIF('BvsC_M6'!$B$4:$B$100,B4,'BvsC_M6'!$D$4:$D$100)</f>
        <v/>
      </c>
      <c r="F4" s="32">
        <f>SUMIF('AvsB_M1'!$B$4:$B$100,B4,'AvsB_M1'!$E$4:$E$100)+SUMIF('AvsB_M2'!$B$4:$B$100,B4,'AvsB_M2'!$E$4:$E$100)+SUMIF('AvsB_M3'!$B$4:$B$100,B4,'AvsB_M3'!$E$4:$E$100)+SUMIF('AvsB_M4'!$B$4:$B$100,B4,'AvsB_M4'!$E$4:$E$100)+SUMIF('AvsB_M5'!$B$4:$B$100,B4,'AvsB_M5'!$E$4:$E$100)+SUMIF('AvsB_M6'!$B$4:$B$100,B4,'AvsB_M6'!$E$4:$E$100)+SUMIF('CvsD_M1'!$B$4:$B$100,B4,'CvsD_M1'!$E$4:$E$100)+SUMIF('CvsD_M2'!$B$4:$B$100,B4,'CvsD_M2'!$E$4:$E$100)+SUMIF('CvsD_M3'!$B$4:$B$100,B4,'CvsD_M3'!$E$4:$E$100)+SUMIF('CvsD_M4'!$B$4:$B$100,B4,'CvsD_M4'!$E$4:$E$100)+SUMIF('CvsD_M5'!$B$4:$B$100,B4,'CvsD_M5'!$E$4:$E$100)+SUMIF('CvsD_M6'!$B$4:$B$100,B4,'CvsD_M6'!$E$4:$E$100)+SUMIF('AvsC_M1'!$B$4:$B$100,B4,'AvsC_M1'!$E$4:$E$100)+SUMIF('AvsC_M2'!$B$4:$B$100,B4,'AvsC_M2'!$E$4:$E$100)+SUMIF('AvsC_M3'!$B$4:$B$100,B4,'AvsC_M3'!$E$4:$E$100)+SUMIF('AvsC_M4'!$B$4:$B$100,B4,'AvsC_M4'!$E$4:$E$100)+SUMIF('AvsC_M5'!$B$4:$B$100,B4,'AvsC_M5'!$E$4:$E$100)+SUMIF('AvsC_M6'!$B$4:$B$100,B4,'AvsC_M6'!$E$4:$E$100)+SUMIF('BvsD_M1'!$B$4:$B$100,B4,'BvsD_M1'!$E$4:$E$100)+SUMIF('BvsD_M2'!$B$4:$B$100,B4,'BvsD_M2'!$E$4:$E$100)+SUMIF('BvsD_M3'!$B$4:$B$100,B4,'BvsD_M3'!$E$4:$E$100)+SUMIF('BvsD_M4'!$B$4:$B$100,B4,'BvsD_M4'!$E$4:$E$100)+SUMIF('BvsD_M5'!$B$4:$B$100,B4,'BvsD_M5'!$E$4:$E$100)+SUMIF('BvsD_M6'!$B$4:$B$100,B4,'BvsD_M6'!$E$4:$E$100)+SUMIF('AvsD_M1'!$B$4:$B$100,B4,'AvsD_M1'!$E$4:$E$100)+SUMIF('AvsD_M2'!$B$4:$B$100,B4,'AvsD_M2'!$E$4:$E$100)+SUMIF('AvsD_M3'!$B$4:$B$100,B4,'AvsD_M3'!$E$4:$E$100)+SUMIF('AvsD_M4'!$B$4:$B$100,B4,'AvsD_M4'!$E$4:$E$100)+SUMIF('AvsD_M5'!$B$4:$B$100,B4,'AvsD_M5'!$E$4:$E$100)+SUMIF('AvsD_M6'!$B$4:$B$100,B4,'AvsD_M6'!$E$4:$E$100)+SUMIF('BvsC_M1'!$B$4:$B$100,B4,'BvsC_M1'!$E$4:$E$100)+SUMIF('BvsC_M2'!$B$4:$B$100,B4,'BvsC_M2'!$E$4:$E$100)+SUMIF('BvsC_M3'!$B$4:$B$100,B4,'BvsC_M3'!$E$4:$E$100)+SUMIF('BvsC_M4'!$B$4:$B$100,B4,'BvsC_M4'!$E$4:$E$100)+SUMIF('BvsC_M5'!$B$4:$B$100,B4,'BvsC_M5'!$E$4:$E$100)+SUMIF('BvsC_M6'!$B$4:$B$100,B4,'BvsC_M6'!$E$4:$E$100)</f>
        <v/>
      </c>
      <c r="G4" s="32">
        <f>SUMIF('AvsB_M1'!$B$4:$B$100,B4,'AvsB_M1'!$F$4:$F$100)+SUMIF('AvsB_M2'!$B$4:$B$100,B4,'AvsB_M2'!$F$4:$F$100)+SUMIF('AvsB_M3'!$B$4:$B$100,B4,'AvsB_M3'!$F$4:$F$100)+SUMIF('AvsB_M4'!$B$4:$B$100,B4,'AvsB_M4'!$F$4:$F$100)+SUMIF('AvsB_M5'!$B$4:$B$100,B4,'AvsB_M5'!$F$4:$F$100)+SUMIF('AvsB_M6'!$B$4:$B$100,B4,'AvsB_M6'!$F$4:$F$100)+SUMIF('CvsD_M1'!$B$4:$B$100,B4,'CvsD_M1'!$F$4:$F$100)+SUMIF('CvsD_M2'!$B$4:$B$100,B4,'CvsD_M2'!$F$4:$F$100)+SUMIF('CvsD_M3'!$B$4:$B$100,B4,'CvsD_M3'!$F$4:$F$100)+SUMIF('CvsD_M4'!$B$4:$B$100,B4,'CvsD_M4'!$F$4:$F$100)+SUMIF('CvsD_M5'!$B$4:$B$100,B4,'CvsD_M5'!$F$4:$F$100)+SUMIF('CvsD_M6'!$B$4:$B$100,B4,'CvsD_M6'!$F$4:$F$100)+SUMIF('AvsC_M1'!$B$4:$B$100,B4,'AvsC_M1'!$F$4:$F$100)+SUMIF('AvsC_M2'!$B$4:$B$100,B4,'AvsC_M2'!$F$4:$F$100)+SUMIF('AvsC_M3'!$B$4:$B$100,B4,'AvsC_M3'!$F$4:$F$100)+SUMIF('AvsC_M4'!$B$4:$B$100,B4,'AvsC_M4'!$F$4:$F$100)+SUMIF('AvsC_M5'!$B$4:$B$100,B4,'AvsC_M5'!$F$4:$F$100)+SUMIF('AvsC_M6'!$B$4:$B$100,B4,'AvsC_M6'!$F$4:$F$100)+SUMIF('BvsD_M1'!$B$4:$B$100,B4,'BvsD_M1'!$F$4:$F$100)+SUMIF('BvsD_M2'!$B$4:$B$100,B4,'BvsD_M2'!$F$4:$F$100)+SUMIF('BvsD_M3'!$B$4:$B$100,B4,'BvsD_M3'!$F$4:$F$100)+SUMIF('BvsD_M4'!$B$4:$B$100,B4,'BvsD_M4'!$F$4:$F$100)+SUMIF('BvsD_M5'!$B$4:$B$100,B4,'BvsD_M5'!$F$4:$F$100)+SUMIF('BvsD_M6'!$B$4:$B$100,B4,'BvsD_M6'!$F$4:$F$100)+SUMIF('AvsD_M1'!$B$4:$B$100,B4,'AvsD_M1'!$F$4:$F$100)+SUMIF('AvsD_M2'!$B$4:$B$100,B4,'AvsD_M2'!$F$4:$F$100)+SUMIF('AvsD_M3'!$B$4:$B$100,B4,'AvsD_M3'!$F$4:$F$100)+SUMIF('AvsD_M4'!$B$4:$B$100,B4,'AvsD_M4'!$F$4:$F$100)+SUMIF('AvsD_M5'!$B$4:$B$100,B4,'AvsD_M5'!$F$4:$F$100)+SUMIF('AvsD_M6'!$B$4:$B$100,B4,'AvsD_M6'!$F$4:$F$100)+SUMIF('BvsC_M1'!$B$4:$B$100,B4,'BvsC_M1'!$F$4:$F$100)+SUMIF('BvsC_M2'!$B$4:$B$100,B4,'BvsC_M2'!$F$4:$F$100)+SUMIF('BvsC_M3'!$B$4:$B$100,B4,'BvsC_M3'!$F$4:$F$100)+SUMIF('BvsC_M4'!$B$4:$B$100,B4,'BvsC_M4'!$F$4:$F$100)+SUMIF('BvsC_M5'!$B$4:$B$100,B4,'BvsC_M5'!$F$4:$F$100)+SUMIF('BvsC_M6'!$B$4:$B$100,B4,'BvsC_M6'!$F$4:$F$100)</f>
        <v/>
      </c>
      <c r="H4" s="32">
        <f>SUMIF('AvsB_M1'!$B$4:$B$100,B4,'AvsB_M1'!$G$4:$G$100)+SUMIF('AvsB_M2'!$B$4:$B$100,B4,'AvsB_M2'!$G$4:$G$100)+SUMIF('AvsB_M3'!$B$4:$B$100,B4,'AvsB_M3'!$G$4:$G$100)+SUMIF('AvsB_M4'!$B$4:$B$100,B4,'AvsB_M4'!$G$4:$G$100)+SUMIF('AvsB_M5'!$B$4:$B$100,B4,'AvsB_M5'!$G$4:$G$100)+SUMIF('AvsB_M6'!$B$4:$B$100,B4,'AvsB_M6'!$G$4:$G$100)+SUMIF('CvsD_M1'!$B$4:$B$100,B4,'CvsD_M1'!$G$4:$G$100)+SUMIF('CvsD_M2'!$B$4:$B$100,B4,'CvsD_M2'!$G$4:$G$100)+SUMIF('CvsD_M3'!$B$4:$B$100,B4,'CvsD_M3'!$G$4:$G$100)+SUMIF('CvsD_M4'!$B$4:$B$100,B4,'CvsD_M4'!$G$4:$G$100)+SUMIF('CvsD_M5'!$B$4:$B$100,B4,'CvsD_M5'!$G$4:$G$100)+SUMIF('CvsD_M6'!$B$4:$B$100,B4,'CvsD_M6'!$G$4:$G$100)+SUMIF('AvsC_M1'!$B$4:$B$100,B4,'AvsC_M1'!$G$4:$G$100)+SUMIF('AvsC_M2'!$B$4:$B$100,B4,'AvsC_M2'!$G$4:$G$100)+SUMIF('AvsC_M3'!$B$4:$B$100,B4,'AvsC_M3'!$G$4:$G$100)+SUMIF('AvsC_M4'!$B$4:$B$100,B4,'AvsC_M4'!$G$4:$G$100)+SUMIF('AvsC_M5'!$B$4:$B$100,B4,'AvsC_M5'!$G$4:$G$100)+SUMIF('AvsC_M6'!$B$4:$B$100,B4,'AvsC_M6'!$G$4:$G$100)+SUMIF('BvsD_M1'!$B$4:$B$100,B4,'BvsD_M1'!$G$4:$G$100)+SUMIF('BvsD_M2'!$B$4:$B$100,B4,'BvsD_M2'!$G$4:$G$100)+SUMIF('BvsD_M3'!$B$4:$B$100,B4,'BvsD_M3'!$G$4:$G$100)+SUMIF('BvsD_M4'!$B$4:$B$100,B4,'BvsD_M4'!$G$4:$G$100)+SUMIF('BvsD_M5'!$B$4:$B$100,B4,'BvsD_M5'!$G$4:$G$100)+SUMIF('BvsD_M6'!$B$4:$B$100,B4,'BvsD_M6'!$G$4:$G$100)+SUMIF('AvsD_M1'!$B$4:$B$100,B4,'AvsD_M1'!$G$4:$G$100)+SUMIF('AvsD_M2'!$B$4:$B$100,B4,'AvsD_M2'!$G$4:$G$100)+SUMIF('AvsD_M3'!$B$4:$B$100,B4,'AvsD_M3'!$G$4:$G$100)+SUMIF('AvsD_M4'!$B$4:$B$100,B4,'AvsD_M4'!$G$4:$G$100)+SUMIF('AvsD_M5'!$B$4:$B$100,B4,'AvsD_M5'!$G$4:$G$100)+SUMIF('AvsD_M6'!$B$4:$B$100,B4,'AvsD_M6'!$G$4:$G$100)+SUMIF('BvsC_M1'!$B$4:$B$100,B4,'BvsC_M1'!$G$4:$G$100)+SUMIF('BvsC_M2'!$B$4:$B$100,B4,'BvsC_M2'!$G$4:$G$100)+SUMIF('BvsC_M3'!$B$4:$B$100,B4,'BvsC_M3'!$G$4:$G$100)+SUMIF('BvsC_M4'!$B$4:$B$100,B4,'BvsC_M4'!$G$4:$G$100)+SUMIF('BvsC_M5'!$B$4:$B$100,B4,'BvsC_M5'!$G$4:$G$100)+SUMIF('BvsC_M6'!$B$4:$B$100,B4,'BvsC_M6'!$G$4:$G$100)</f>
        <v/>
      </c>
      <c r="I4" s="32">
        <f>SUMIF('AvsB_M1'!$B$4:$B$100,B4,'AvsB_M1'!$H$4:$H$100)+SUMIF('AvsB_M2'!$B$4:$B$100,B4,'AvsB_M2'!$H$4:$H$100)+SUMIF('AvsB_M3'!$B$4:$B$100,B4,'AvsB_M3'!$H$4:$H$100)+SUMIF('AvsB_M4'!$B$4:$B$100,B4,'AvsB_M4'!$H$4:$H$100)+SUMIF('AvsB_M5'!$B$4:$B$100,B4,'AvsB_M5'!$H$4:$H$100)+SUMIF('AvsB_M6'!$B$4:$B$100,B4,'AvsB_M6'!$H$4:$H$100)+SUMIF('CvsD_M1'!$B$4:$B$100,B4,'CvsD_M1'!$H$4:$H$100)+SUMIF('CvsD_M2'!$B$4:$B$100,B4,'CvsD_M2'!$H$4:$H$100)+SUMIF('CvsD_M3'!$B$4:$B$100,B4,'CvsD_M3'!$H$4:$H$100)+SUMIF('CvsD_M4'!$B$4:$B$100,B4,'CvsD_M4'!$H$4:$H$100)+SUMIF('CvsD_M5'!$B$4:$B$100,B4,'CvsD_M5'!$H$4:$H$100)+SUMIF('CvsD_M6'!$B$4:$B$100,B4,'CvsD_M6'!$H$4:$H$100)+SUMIF('AvsC_M1'!$B$4:$B$100,B4,'AvsC_M1'!$H$4:$H$100)+SUMIF('AvsC_M2'!$B$4:$B$100,B4,'AvsC_M2'!$H$4:$H$100)+SUMIF('AvsC_M3'!$B$4:$B$100,B4,'AvsC_M3'!$H$4:$H$100)+SUMIF('AvsC_M4'!$B$4:$B$100,B4,'AvsC_M4'!$H$4:$H$100)+SUMIF('AvsC_M5'!$B$4:$B$100,B4,'AvsC_M5'!$H$4:$H$100)+SUMIF('AvsC_M6'!$B$4:$B$100,B4,'AvsC_M6'!$H$4:$H$100)+SUMIF('BvsD_M1'!$B$4:$B$100,B4,'BvsD_M1'!$H$4:$H$100)+SUMIF('BvsD_M2'!$B$4:$B$100,B4,'BvsD_M2'!$H$4:$H$100)+SUMIF('BvsD_M3'!$B$4:$B$100,B4,'BvsD_M3'!$H$4:$H$100)+SUMIF('BvsD_M4'!$B$4:$B$100,B4,'BvsD_M4'!$H$4:$H$100)+SUMIF('BvsD_M5'!$B$4:$B$100,B4,'BvsD_M5'!$H$4:$H$100)+SUMIF('BvsD_M6'!$B$4:$B$100,B4,'BvsD_M6'!$H$4:$H$100)+SUMIF('AvsD_M1'!$B$4:$B$100,B4,'AvsD_M1'!$H$4:$H$100)+SUMIF('AvsD_M2'!$B$4:$B$100,B4,'AvsD_M2'!$H$4:$H$100)+SUMIF('AvsD_M3'!$B$4:$B$100,B4,'AvsD_M3'!$H$4:$H$100)+SUMIF('AvsD_M4'!$B$4:$B$100,B4,'AvsD_M4'!$H$4:$H$100)+SUMIF('AvsD_M5'!$B$4:$B$100,B4,'AvsD_M5'!$H$4:$H$100)+SUMIF('AvsD_M6'!$B$4:$B$100,B4,'AvsD_M6'!$H$4:$H$100)+SUMIF('BvsC_M1'!$B$4:$B$100,B4,'BvsC_M1'!$H$4:$H$100)+SUMIF('BvsC_M2'!$B$4:$B$100,B4,'BvsC_M2'!$H$4:$H$100)+SUMIF('BvsC_M3'!$B$4:$B$100,B4,'BvsC_M3'!$H$4:$H$100)+SUMIF('BvsC_M4'!$B$4:$B$100,B4,'BvsC_M4'!$H$4:$H$100)+SUMIF('BvsC_M5'!$B$4:$B$100,B4,'BvsC_M5'!$H$4:$H$100)+SUMIF('BvsC_M6'!$B$4:$B$100,B4,'BvsC_M6'!$H$4:$H$100)</f>
        <v/>
      </c>
      <c r="J4" s="32">
        <f>SUMIF('AvsB_M1'!$B$4:$B$100,B4,'AvsB_M1'!$I$4:$I$100)+SUMIF('AvsB_M2'!$B$4:$B$100,B4,'AvsB_M2'!$I$4:$I$100)+SUMIF('AvsB_M3'!$B$4:$B$100,B4,'AvsB_M3'!$I$4:$I$100)+SUMIF('AvsB_M4'!$B$4:$B$100,B4,'AvsB_M4'!$I$4:$I$100)+SUMIF('AvsB_M5'!$B$4:$B$100,B4,'AvsB_M5'!$I$4:$I$100)+SUMIF('AvsB_M6'!$B$4:$B$100,B4,'AvsB_M6'!$I$4:$I$100)+SUMIF('CvsD_M1'!$B$4:$B$100,B4,'CvsD_M1'!$I$4:$I$100)+SUMIF('CvsD_M2'!$B$4:$B$100,B4,'CvsD_M2'!$I$4:$I$100)+SUMIF('CvsD_M3'!$B$4:$B$100,B4,'CvsD_M3'!$I$4:$I$100)+SUMIF('CvsD_M4'!$B$4:$B$100,B4,'CvsD_M4'!$I$4:$I$100)+SUMIF('CvsD_M5'!$B$4:$B$100,B4,'CvsD_M5'!$I$4:$I$100)+SUMIF('CvsD_M6'!$B$4:$B$100,B4,'CvsD_M6'!$I$4:$I$100)+SUMIF('AvsC_M1'!$B$4:$B$100,B4,'AvsC_M1'!$I$4:$I$100)+SUMIF('AvsC_M2'!$B$4:$B$100,B4,'AvsC_M2'!$I$4:$I$100)+SUMIF('AvsC_M3'!$B$4:$B$100,B4,'AvsC_M3'!$I$4:$I$100)+SUMIF('AvsC_M4'!$B$4:$B$100,B4,'AvsC_M4'!$I$4:$I$100)+SUMIF('AvsC_M5'!$B$4:$B$100,B4,'AvsC_M5'!$I$4:$I$100)+SUMIF('AvsC_M6'!$B$4:$B$100,B4,'AvsC_M6'!$I$4:$I$100)+SUMIF('BvsD_M1'!$B$4:$B$100,B4,'BvsD_M1'!$I$4:$I$100)+SUMIF('BvsD_M2'!$B$4:$B$100,B4,'BvsD_M2'!$I$4:$I$100)+SUMIF('BvsD_M3'!$B$4:$B$100,B4,'BvsD_M3'!$I$4:$I$100)+SUMIF('BvsD_M4'!$B$4:$B$100,B4,'BvsD_M4'!$I$4:$I$100)+SUMIF('BvsD_M5'!$B$4:$B$100,B4,'BvsD_M5'!$I$4:$I$100)+SUMIF('BvsD_M6'!$B$4:$B$100,B4,'BvsD_M6'!$I$4:$I$100)+SUMIF('AvsD_M1'!$B$4:$B$100,B4,'AvsD_M1'!$I$4:$I$100)+SUMIF('AvsD_M2'!$B$4:$B$100,B4,'AvsD_M2'!$I$4:$I$100)+SUMIF('AvsD_M3'!$B$4:$B$100,B4,'AvsD_M3'!$I$4:$I$100)+SUMIF('AvsD_M4'!$B$4:$B$100,B4,'AvsD_M4'!$I$4:$I$100)+SUMIF('AvsD_M5'!$B$4:$B$100,B4,'AvsD_M5'!$I$4:$I$100)+SUMIF('AvsD_M6'!$B$4:$B$100,B4,'AvsD_M6'!$I$4:$I$100)+SUMIF('BvsC_M1'!$B$4:$B$100,B4,'BvsC_M1'!$I$4:$I$100)+SUMIF('BvsC_M2'!$B$4:$B$100,B4,'BvsC_M2'!$I$4:$I$100)+SUMIF('BvsC_M3'!$B$4:$B$100,B4,'BvsC_M3'!$I$4:$I$100)+SUMIF('BvsC_M4'!$B$4:$B$100,B4,'BvsC_M4'!$I$4:$I$100)+SUMIF('BvsC_M5'!$B$4:$B$100,B4,'BvsC_M5'!$I$4:$I$100)+SUMIF('BvsC_M6'!$B$4:$B$100,B4,'BvsC_M6'!$I$4:$I$100)</f>
        <v/>
      </c>
    </row>
    <row r="5">
      <c r="A5" s="32" t="n">
        <v>2</v>
      </c>
      <c r="B5" s="32" t="inlineStr">
        <is>
          <t>AIMLEGIT</t>
        </is>
      </c>
      <c r="C5" s="32">
        <f>COUNTIF('AvsB_M1'!$B$4:$B$100,B5)+COUNTIF('AvsB_M2'!$B$4:$B$100,B5)+COUNTIF('AvsB_M3'!$B$4:$B$100,B5)+COUNTIF('AvsB_M4'!$B$4:$B$100,B5)+COUNTIF('AvsB_M5'!$B$4:$B$100,B5)+COUNTIF('AvsB_M6'!$B$4:$B$100,B5)+COUNTIF('CvsD_M1'!$B$4:$B$100,B5)+COUNTIF('CvsD_M2'!$B$4:$B$100,B5)+COUNTIF('CvsD_M3'!$B$4:$B$100,B5)+COUNTIF('CvsD_M4'!$B$4:$B$100,B5)+COUNTIF('CvsD_M5'!$B$4:$B$100,B5)+COUNTIF('CvsD_M6'!$B$4:$B$100,B5)+COUNTIF('AvsC_M1'!$B$4:$B$100,B5)+COUNTIF('AvsC_M2'!$B$4:$B$100,B5)+COUNTIF('AvsC_M3'!$B$4:$B$100,B5)+COUNTIF('AvsC_M4'!$B$4:$B$100,B5)+COUNTIF('AvsC_M5'!$B$4:$B$100,B5)+COUNTIF('AvsC_M6'!$B$4:$B$100,B5)+COUNTIF('BvsD_M1'!$B$4:$B$100,B5)+COUNTIF('BvsD_M2'!$B$4:$B$100,B5)+COUNTIF('BvsD_M3'!$B$4:$B$100,B5)+COUNTIF('BvsD_M4'!$B$4:$B$100,B5)+COUNTIF('BvsD_M5'!$B$4:$B$100,B5)+COUNTIF('BvsD_M6'!$B$4:$B$100,B5)+COUNTIF('AvsD_M1'!$B$4:$B$100,B5)+COUNTIF('AvsD_M2'!$B$4:$B$100,B5)+COUNTIF('AvsD_M3'!$B$4:$B$100,B5)+COUNTIF('AvsD_M4'!$B$4:$B$100,B5)+COUNTIF('AvsD_M5'!$B$4:$B$100,B5)+COUNTIF('AvsD_M6'!$B$4:$B$100,B5)+COUNTIF('BvsC_M1'!$B$4:$B$100,B5)+COUNTIF('BvsC_M2'!$B$4:$B$100,B5)+COUNTIF('BvsC_M3'!$B$4:$B$100,B5)+COUNTIF('BvsC_M4'!$B$4:$B$100,B5)+COUNTIF('BvsC_M5'!$B$4:$B$100,B5)+COUNTIF('BvsC_M6'!$B$4:$B$100,B5)</f>
        <v/>
      </c>
      <c r="D5" s="32">
        <f>SUMIF('AvsB_M1'!$B$4:$B$100,B5,'AvsB_M1'!$C$4:$C$100)+SUMIF('AvsB_M2'!$B$4:$B$100,B5,'AvsB_M2'!$C$4:$C$100)+SUMIF('AvsB_M3'!$B$4:$B$100,B5,'AvsB_M3'!$C$4:$C$100)+SUMIF('AvsB_M4'!$B$4:$B$100,B5,'AvsB_M4'!$C$4:$C$100)+SUMIF('AvsB_M5'!$B$4:$B$100,B5,'AvsB_M5'!$C$4:$C$100)+SUMIF('AvsB_M6'!$B$4:$B$100,B5,'AvsB_M6'!$C$4:$C$100)+SUMIF('CvsD_M1'!$B$4:$B$100,B5,'CvsD_M1'!$C$4:$C$100)+SUMIF('CvsD_M2'!$B$4:$B$100,B5,'CvsD_M2'!$C$4:$C$100)+SUMIF('CvsD_M3'!$B$4:$B$100,B5,'CvsD_M3'!$C$4:$C$100)+SUMIF('CvsD_M4'!$B$4:$B$100,B5,'CvsD_M4'!$C$4:$C$100)+SUMIF('CvsD_M5'!$B$4:$B$100,B5,'CvsD_M5'!$C$4:$C$100)+SUMIF('CvsD_M6'!$B$4:$B$100,B5,'CvsD_M6'!$C$4:$C$100)+SUMIF('AvsC_M1'!$B$4:$B$100,B5,'AvsC_M1'!$C$4:$C$100)+SUMIF('AvsC_M2'!$B$4:$B$100,B5,'AvsC_M2'!$C$4:$C$100)+SUMIF('AvsC_M3'!$B$4:$B$100,B5,'AvsC_M3'!$C$4:$C$100)+SUMIF('AvsC_M4'!$B$4:$B$100,B5,'AvsC_M4'!$C$4:$C$100)+SUMIF('AvsC_M5'!$B$4:$B$100,B5,'AvsC_M5'!$C$4:$C$100)+SUMIF('AvsC_M6'!$B$4:$B$100,B5,'AvsC_M6'!$C$4:$C$100)+SUMIF('BvsD_M1'!$B$4:$B$100,B5,'BvsD_M1'!$C$4:$C$100)+SUMIF('BvsD_M2'!$B$4:$B$100,B5,'BvsD_M2'!$C$4:$C$100)+SUMIF('BvsD_M3'!$B$4:$B$100,B5,'BvsD_M3'!$C$4:$C$100)+SUMIF('BvsD_M4'!$B$4:$B$100,B5,'BvsD_M4'!$C$4:$C$100)+SUMIF('BvsD_M5'!$B$4:$B$100,B5,'BvsD_M5'!$C$4:$C$100)+SUMIF('BvsD_M6'!$B$4:$B$100,B5,'BvsD_M6'!$C$4:$C$100)+SUMIF('AvsD_M1'!$B$4:$B$100,B5,'AvsD_M1'!$C$4:$C$100)+SUMIF('AvsD_M2'!$B$4:$B$100,B5,'AvsD_M2'!$C$4:$C$100)+SUMIF('AvsD_M3'!$B$4:$B$100,B5,'AvsD_M3'!$C$4:$C$100)+SUMIF('AvsD_M4'!$B$4:$B$100,B5,'AvsD_M4'!$C$4:$C$100)+SUMIF('AvsD_M5'!$B$4:$B$100,B5,'AvsD_M5'!$C$4:$C$100)+SUMIF('AvsD_M6'!$B$4:$B$100,B5,'AvsD_M6'!$C$4:$C$100)+SUMIF('BvsC_M1'!$B$4:$B$100,B5,'BvsC_M1'!$C$4:$C$100)+SUMIF('BvsC_M2'!$B$4:$B$100,B5,'BvsC_M2'!$C$4:$C$100)+SUMIF('BvsC_M3'!$B$4:$B$100,B5,'BvsC_M3'!$C$4:$C$100)+SUMIF('BvsC_M4'!$B$4:$B$100,B5,'BvsC_M4'!$C$4:$C$100)+SUMIF('BvsC_M5'!$B$4:$B$100,B5,'BvsC_M5'!$C$4:$C$100)+SUMIF('BvsC_M6'!$B$4:$B$100,B5,'BvsC_M6'!$C$4:$C$100)</f>
        <v/>
      </c>
      <c r="E5" s="32">
        <f>SUMIF('AvsB_M1'!$B$4:$B$100,B5,'AvsB_M1'!$D$4:$D$100)+SUMIF('AvsB_M2'!$B$4:$B$100,B5,'AvsB_M2'!$D$4:$D$100)+SUMIF('AvsB_M3'!$B$4:$B$100,B5,'AvsB_M3'!$D$4:$D$100)+SUMIF('AvsB_M4'!$B$4:$B$100,B5,'AvsB_M4'!$D$4:$D$100)+SUMIF('AvsB_M5'!$B$4:$B$100,B5,'AvsB_M5'!$D$4:$D$100)+SUMIF('AvsB_M6'!$B$4:$B$100,B5,'AvsB_M6'!$D$4:$D$100)+SUMIF('CvsD_M1'!$B$4:$B$100,B5,'CvsD_M1'!$D$4:$D$100)+SUMIF('CvsD_M2'!$B$4:$B$100,B5,'CvsD_M2'!$D$4:$D$100)+SUMIF('CvsD_M3'!$B$4:$B$100,B5,'CvsD_M3'!$D$4:$D$100)+SUMIF('CvsD_M4'!$B$4:$B$100,B5,'CvsD_M4'!$D$4:$D$100)+SUMIF('CvsD_M5'!$B$4:$B$100,B5,'CvsD_M5'!$D$4:$D$100)+SUMIF('CvsD_M6'!$B$4:$B$100,B5,'CvsD_M6'!$D$4:$D$100)+SUMIF('AvsC_M1'!$B$4:$B$100,B5,'AvsC_M1'!$D$4:$D$100)+SUMIF('AvsC_M2'!$B$4:$B$100,B5,'AvsC_M2'!$D$4:$D$100)+SUMIF('AvsC_M3'!$B$4:$B$100,B5,'AvsC_M3'!$D$4:$D$100)+SUMIF('AvsC_M4'!$B$4:$B$100,B5,'AvsC_M4'!$D$4:$D$100)+SUMIF('AvsC_M5'!$B$4:$B$100,B5,'AvsC_M5'!$D$4:$D$100)+SUMIF('AvsC_M6'!$B$4:$B$100,B5,'AvsC_M6'!$D$4:$D$100)+SUMIF('BvsD_M1'!$B$4:$B$100,B5,'BvsD_M1'!$D$4:$D$100)+SUMIF('BvsD_M2'!$B$4:$B$100,B5,'BvsD_M2'!$D$4:$D$100)+SUMIF('BvsD_M3'!$B$4:$B$100,B5,'BvsD_M3'!$D$4:$D$100)+SUMIF('BvsD_M4'!$B$4:$B$100,B5,'BvsD_M4'!$D$4:$D$100)+SUMIF('BvsD_M5'!$B$4:$B$100,B5,'BvsD_M5'!$D$4:$D$100)+SUMIF('BvsD_M6'!$B$4:$B$100,B5,'BvsD_M6'!$D$4:$D$100)+SUMIF('AvsD_M1'!$B$4:$B$100,B5,'AvsD_M1'!$D$4:$D$100)+SUMIF('AvsD_M2'!$B$4:$B$100,B5,'AvsD_M2'!$D$4:$D$100)+SUMIF('AvsD_M3'!$B$4:$B$100,B5,'AvsD_M3'!$D$4:$D$100)+SUMIF('AvsD_M4'!$B$4:$B$100,B5,'AvsD_M4'!$D$4:$D$100)+SUMIF('AvsD_M5'!$B$4:$B$100,B5,'AvsD_M5'!$D$4:$D$100)+SUMIF('AvsD_M6'!$B$4:$B$100,B5,'AvsD_M6'!$D$4:$D$100)+SUMIF('BvsC_M1'!$B$4:$B$100,B5,'BvsC_M1'!$D$4:$D$100)+SUMIF('BvsC_M2'!$B$4:$B$100,B5,'BvsC_M2'!$D$4:$D$100)+SUMIF('BvsC_M3'!$B$4:$B$100,B5,'BvsC_M3'!$D$4:$D$100)+SUMIF('BvsC_M4'!$B$4:$B$100,B5,'BvsC_M4'!$D$4:$D$100)+SUMIF('BvsC_M5'!$B$4:$B$100,B5,'BvsC_M5'!$D$4:$D$100)+SUMIF('BvsC_M6'!$B$4:$B$100,B5,'BvsC_M6'!$D$4:$D$100)</f>
        <v/>
      </c>
      <c r="F5" s="32">
        <f>SUMIF('AvsB_M1'!$B$4:$B$100,B5,'AvsB_M1'!$E$4:$E$100)+SUMIF('AvsB_M2'!$B$4:$B$100,B5,'AvsB_M2'!$E$4:$E$100)+SUMIF('AvsB_M3'!$B$4:$B$100,B5,'AvsB_M3'!$E$4:$E$100)+SUMIF('AvsB_M4'!$B$4:$B$100,B5,'AvsB_M4'!$E$4:$E$100)+SUMIF('AvsB_M5'!$B$4:$B$100,B5,'AvsB_M5'!$E$4:$E$100)+SUMIF('AvsB_M6'!$B$4:$B$100,B5,'AvsB_M6'!$E$4:$E$100)+SUMIF('CvsD_M1'!$B$4:$B$100,B5,'CvsD_M1'!$E$4:$E$100)+SUMIF('CvsD_M2'!$B$4:$B$100,B5,'CvsD_M2'!$E$4:$E$100)+SUMIF('CvsD_M3'!$B$4:$B$100,B5,'CvsD_M3'!$E$4:$E$100)+SUMIF('CvsD_M4'!$B$4:$B$100,B5,'CvsD_M4'!$E$4:$E$100)+SUMIF('CvsD_M5'!$B$4:$B$100,B5,'CvsD_M5'!$E$4:$E$100)+SUMIF('CvsD_M6'!$B$4:$B$100,B5,'CvsD_M6'!$E$4:$E$100)+SUMIF('AvsC_M1'!$B$4:$B$100,B5,'AvsC_M1'!$E$4:$E$100)+SUMIF('AvsC_M2'!$B$4:$B$100,B5,'AvsC_M2'!$E$4:$E$100)+SUMIF('AvsC_M3'!$B$4:$B$100,B5,'AvsC_M3'!$E$4:$E$100)+SUMIF('AvsC_M4'!$B$4:$B$100,B5,'AvsC_M4'!$E$4:$E$100)+SUMIF('AvsC_M5'!$B$4:$B$100,B5,'AvsC_M5'!$E$4:$E$100)+SUMIF('AvsC_M6'!$B$4:$B$100,B5,'AvsC_M6'!$E$4:$E$100)+SUMIF('BvsD_M1'!$B$4:$B$100,B5,'BvsD_M1'!$E$4:$E$100)+SUMIF('BvsD_M2'!$B$4:$B$100,B5,'BvsD_M2'!$E$4:$E$100)+SUMIF('BvsD_M3'!$B$4:$B$100,B5,'BvsD_M3'!$E$4:$E$100)+SUMIF('BvsD_M4'!$B$4:$B$100,B5,'BvsD_M4'!$E$4:$E$100)+SUMIF('BvsD_M5'!$B$4:$B$100,B5,'BvsD_M5'!$E$4:$E$100)+SUMIF('BvsD_M6'!$B$4:$B$100,B5,'BvsD_M6'!$E$4:$E$100)+SUMIF('AvsD_M1'!$B$4:$B$100,B5,'AvsD_M1'!$E$4:$E$100)+SUMIF('AvsD_M2'!$B$4:$B$100,B5,'AvsD_M2'!$E$4:$E$100)+SUMIF('AvsD_M3'!$B$4:$B$100,B5,'AvsD_M3'!$E$4:$E$100)+SUMIF('AvsD_M4'!$B$4:$B$100,B5,'AvsD_M4'!$E$4:$E$100)+SUMIF('AvsD_M5'!$B$4:$B$100,B5,'AvsD_M5'!$E$4:$E$100)+SUMIF('AvsD_M6'!$B$4:$B$100,B5,'AvsD_M6'!$E$4:$E$100)+SUMIF('BvsC_M1'!$B$4:$B$100,B5,'BvsC_M1'!$E$4:$E$100)+SUMIF('BvsC_M2'!$B$4:$B$100,B5,'BvsC_M2'!$E$4:$E$100)+SUMIF('BvsC_M3'!$B$4:$B$100,B5,'BvsC_M3'!$E$4:$E$100)+SUMIF('BvsC_M4'!$B$4:$B$100,B5,'BvsC_M4'!$E$4:$E$100)+SUMIF('BvsC_M5'!$B$4:$B$100,B5,'BvsC_M5'!$E$4:$E$100)+SUMIF('BvsC_M6'!$B$4:$B$100,B5,'BvsC_M6'!$E$4:$E$100)</f>
        <v/>
      </c>
      <c r="G5" s="32">
        <f>SUMIF('AvsB_M1'!$B$4:$B$100,B5,'AvsB_M1'!$F$4:$F$100)+SUMIF('AvsB_M2'!$B$4:$B$100,B5,'AvsB_M2'!$F$4:$F$100)+SUMIF('AvsB_M3'!$B$4:$B$100,B5,'AvsB_M3'!$F$4:$F$100)+SUMIF('AvsB_M4'!$B$4:$B$100,B5,'AvsB_M4'!$F$4:$F$100)+SUMIF('AvsB_M5'!$B$4:$B$100,B5,'AvsB_M5'!$F$4:$F$100)+SUMIF('AvsB_M6'!$B$4:$B$100,B5,'AvsB_M6'!$F$4:$F$100)+SUMIF('CvsD_M1'!$B$4:$B$100,B5,'CvsD_M1'!$F$4:$F$100)+SUMIF('CvsD_M2'!$B$4:$B$100,B5,'CvsD_M2'!$F$4:$F$100)+SUMIF('CvsD_M3'!$B$4:$B$100,B5,'CvsD_M3'!$F$4:$F$100)+SUMIF('CvsD_M4'!$B$4:$B$100,B5,'CvsD_M4'!$F$4:$F$100)+SUMIF('CvsD_M5'!$B$4:$B$100,B5,'CvsD_M5'!$F$4:$F$100)+SUMIF('CvsD_M6'!$B$4:$B$100,B5,'CvsD_M6'!$F$4:$F$100)+SUMIF('AvsC_M1'!$B$4:$B$100,B5,'AvsC_M1'!$F$4:$F$100)+SUMIF('AvsC_M2'!$B$4:$B$100,B5,'AvsC_M2'!$F$4:$F$100)+SUMIF('AvsC_M3'!$B$4:$B$100,B5,'AvsC_M3'!$F$4:$F$100)+SUMIF('AvsC_M4'!$B$4:$B$100,B5,'AvsC_M4'!$F$4:$F$100)+SUMIF('AvsC_M5'!$B$4:$B$100,B5,'AvsC_M5'!$F$4:$F$100)+SUMIF('AvsC_M6'!$B$4:$B$100,B5,'AvsC_M6'!$F$4:$F$100)+SUMIF('BvsD_M1'!$B$4:$B$100,B5,'BvsD_M1'!$F$4:$F$100)+SUMIF('BvsD_M2'!$B$4:$B$100,B5,'BvsD_M2'!$F$4:$F$100)+SUMIF('BvsD_M3'!$B$4:$B$100,B5,'BvsD_M3'!$F$4:$F$100)+SUMIF('BvsD_M4'!$B$4:$B$100,B5,'BvsD_M4'!$F$4:$F$100)+SUMIF('BvsD_M5'!$B$4:$B$100,B5,'BvsD_M5'!$F$4:$F$100)+SUMIF('BvsD_M6'!$B$4:$B$100,B5,'BvsD_M6'!$F$4:$F$100)+SUMIF('AvsD_M1'!$B$4:$B$100,B5,'AvsD_M1'!$F$4:$F$100)+SUMIF('AvsD_M2'!$B$4:$B$100,B5,'AvsD_M2'!$F$4:$F$100)+SUMIF('AvsD_M3'!$B$4:$B$100,B5,'AvsD_M3'!$F$4:$F$100)+SUMIF('AvsD_M4'!$B$4:$B$100,B5,'AvsD_M4'!$F$4:$F$100)+SUMIF('AvsD_M5'!$B$4:$B$100,B5,'AvsD_M5'!$F$4:$F$100)+SUMIF('AvsD_M6'!$B$4:$B$100,B5,'AvsD_M6'!$F$4:$F$100)+SUMIF('BvsC_M1'!$B$4:$B$100,B5,'BvsC_M1'!$F$4:$F$100)+SUMIF('BvsC_M2'!$B$4:$B$100,B5,'BvsC_M2'!$F$4:$F$100)+SUMIF('BvsC_M3'!$B$4:$B$100,B5,'BvsC_M3'!$F$4:$F$100)+SUMIF('BvsC_M4'!$B$4:$B$100,B5,'BvsC_M4'!$F$4:$F$100)+SUMIF('BvsC_M5'!$B$4:$B$100,B5,'BvsC_M5'!$F$4:$F$100)+SUMIF('BvsC_M6'!$B$4:$B$100,B5,'BvsC_M6'!$F$4:$F$100)</f>
        <v/>
      </c>
      <c r="H5" s="32">
        <f>SUMIF('AvsB_M1'!$B$4:$B$100,B5,'AvsB_M1'!$G$4:$G$100)+SUMIF('AvsB_M2'!$B$4:$B$100,B5,'AvsB_M2'!$G$4:$G$100)+SUMIF('AvsB_M3'!$B$4:$B$100,B5,'AvsB_M3'!$G$4:$G$100)+SUMIF('AvsB_M4'!$B$4:$B$100,B5,'AvsB_M4'!$G$4:$G$100)+SUMIF('AvsB_M5'!$B$4:$B$100,B5,'AvsB_M5'!$G$4:$G$100)+SUMIF('AvsB_M6'!$B$4:$B$100,B5,'AvsB_M6'!$G$4:$G$100)+SUMIF('CvsD_M1'!$B$4:$B$100,B5,'CvsD_M1'!$G$4:$G$100)+SUMIF('CvsD_M2'!$B$4:$B$100,B5,'CvsD_M2'!$G$4:$G$100)+SUMIF('CvsD_M3'!$B$4:$B$100,B5,'CvsD_M3'!$G$4:$G$100)+SUMIF('CvsD_M4'!$B$4:$B$100,B5,'CvsD_M4'!$G$4:$G$100)+SUMIF('CvsD_M5'!$B$4:$B$100,B5,'CvsD_M5'!$G$4:$G$100)+SUMIF('CvsD_M6'!$B$4:$B$100,B5,'CvsD_M6'!$G$4:$G$100)+SUMIF('AvsC_M1'!$B$4:$B$100,B5,'AvsC_M1'!$G$4:$G$100)+SUMIF('AvsC_M2'!$B$4:$B$100,B5,'AvsC_M2'!$G$4:$G$100)+SUMIF('AvsC_M3'!$B$4:$B$100,B5,'AvsC_M3'!$G$4:$G$100)+SUMIF('AvsC_M4'!$B$4:$B$100,B5,'AvsC_M4'!$G$4:$G$100)+SUMIF('AvsC_M5'!$B$4:$B$100,B5,'AvsC_M5'!$G$4:$G$100)+SUMIF('AvsC_M6'!$B$4:$B$100,B5,'AvsC_M6'!$G$4:$G$100)+SUMIF('BvsD_M1'!$B$4:$B$100,B5,'BvsD_M1'!$G$4:$G$100)+SUMIF('BvsD_M2'!$B$4:$B$100,B5,'BvsD_M2'!$G$4:$G$100)+SUMIF('BvsD_M3'!$B$4:$B$100,B5,'BvsD_M3'!$G$4:$G$100)+SUMIF('BvsD_M4'!$B$4:$B$100,B5,'BvsD_M4'!$G$4:$G$100)+SUMIF('BvsD_M5'!$B$4:$B$100,B5,'BvsD_M5'!$G$4:$G$100)+SUMIF('BvsD_M6'!$B$4:$B$100,B5,'BvsD_M6'!$G$4:$G$100)+SUMIF('AvsD_M1'!$B$4:$B$100,B5,'AvsD_M1'!$G$4:$G$100)+SUMIF('AvsD_M2'!$B$4:$B$100,B5,'AvsD_M2'!$G$4:$G$100)+SUMIF('AvsD_M3'!$B$4:$B$100,B5,'AvsD_M3'!$G$4:$G$100)+SUMIF('AvsD_M4'!$B$4:$B$100,B5,'AvsD_M4'!$G$4:$G$100)+SUMIF('AvsD_M5'!$B$4:$B$100,B5,'AvsD_M5'!$G$4:$G$100)+SUMIF('AvsD_M6'!$B$4:$B$100,B5,'AvsD_M6'!$G$4:$G$100)+SUMIF('BvsC_M1'!$B$4:$B$100,B5,'BvsC_M1'!$G$4:$G$100)+SUMIF('BvsC_M2'!$B$4:$B$100,B5,'BvsC_M2'!$G$4:$G$100)+SUMIF('BvsC_M3'!$B$4:$B$100,B5,'BvsC_M3'!$G$4:$G$100)+SUMIF('BvsC_M4'!$B$4:$B$100,B5,'BvsC_M4'!$G$4:$G$100)+SUMIF('BvsC_M5'!$B$4:$B$100,B5,'BvsC_M5'!$G$4:$G$100)+SUMIF('BvsC_M6'!$B$4:$B$100,B5,'BvsC_M6'!$G$4:$G$100)</f>
        <v/>
      </c>
      <c r="I5" s="32">
        <f>SUMIF('AvsB_M1'!$B$4:$B$100,B5,'AvsB_M1'!$H$4:$H$100)+SUMIF('AvsB_M2'!$B$4:$B$100,B5,'AvsB_M2'!$H$4:$H$100)+SUMIF('AvsB_M3'!$B$4:$B$100,B5,'AvsB_M3'!$H$4:$H$100)+SUMIF('AvsB_M4'!$B$4:$B$100,B5,'AvsB_M4'!$H$4:$H$100)+SUMIF('AvsB_M5'!$B$4:$B$100,B5,'AvsB_M5'!$H$4:$H$100)+SUMIF('AvsB_M6'!$B$4:$B$100,B5,'AvsB_M6'!$H$4:$H$100)+SUMIF('CvsD_M1'!$B$4:$B$100,B5,'CvsD_M1'!$H$4:$H$100)+SUMIF('CvsD_M2'!$B$4:$B$100,B5,'CvsD_M2'!$H$4:$H$100)+SUMIF('CvsD_M3'!$B$4:$B$100,B5,'CvsD_M3'!$H$4:$H$100)+SUMIF('CvsD_M4'!$B$4:$B$100,B5,'CvsD_M4'!$H$4:$H$100)+SUMIF('CvsD_M5'!$B$4:$B$100,B5,'CvsD_M5'!$H$4:$H$100)+SUMIF('CvsD_M6'!$B$4:$B$100,B5,'CvsD_M6'!$H$4:$H$100)+SUMIF('AvsC_M1'!$B$4:$B$100,B5,'AvsC_M1'!$H$4:$H$100)+SUMIF('AvsC_M2'!$B$4:$B$100,B5,'AvsC_M2'!$H$4:$H$100)+SUMIF('AvsC_M3'!$B$4:$B$100,B5,'AvsC_M3'!$H$4:$H$100)+SUMIF('AvsC_M4'!$B$4:$B$100,B5,'AvsC_M4'!$H$4:$H$100)+SUMIF('AvsC_M5'!$B$4:$B$100,B5,'AvsC_M5'!$H$4:$H$100)+SUMIF('AvsC_M6'!$B$4:$B$100,B5,'AvsC_M6'!$H$4:$H$100)+SUMIF('BvsD_M1'!$B$4:$B$100,B5,'BvsD_M1'!$H$4:$H$100)+SUMIF('BvsD_M2'!$B$4:$B$100,B5,'BvsD_M2'!$H$4:$H$100)+SUMIF('BvsD_M3'!$B$4:$B$100,B5,'BvsD_M3'!$H$4:$H$100)+SUMIF('BvsD_M4'!$B$4:$B$100,B5,'BvsD_M4'!$H$4:$H$100)+SUMIF('BvsD_M5'!$B$4:$B$100,B5,'BvsD_M5'!$H$4:$H$100)+SUMIF('BvsD_M6'!$B$4:$B$100,B5,'BvsD_M6'!$H$4:$H$100)+SUMIF('AvsD_M1'!$B$4:$B$100,B5,'AvsD_M1'!$H$4:$H$100)+SUMIF('AvsD_M2'!$B$4:$B$100,B5,'AvsD_M2'!$H$4:$H$100)+SUMIF('AvsD_M3'!$B$4:$B$100,B5,'AvsD_M3'!$H$4:$H$100)+SUMIF('AvsD_M4'!$B$4:$B$100,B5,'AvsD_M4'!$H$4:$H$100)+SUMIF('AvsD_M5'!$B$4:$B$100,B5,'AvsD_M5'!$H$4:$H$100)+SUMIF('AvsD_M6'!$B$4:$B$100,B5,'AvsD_M6'!$H$4:$H$100)+SUMIF('BvsC_M1'!$B$4:$B$100,B5,'BvsC_M1'!$H$4:$H$100)+SUMIF('BvsC_M2'!$B$4:$B$100,B5,'BvsC_M2'!$H$4:$H$100)+SUMIF('BvsC_M3'!$B$4:$B$100,B5,'BvsC_M3'!$H$4:$H$100)+SUMIF('BvsC_M4'!$B$4:$B$100,B5,'BvsC_M4'!$H$4:$H$100)+SUMIF('BvsC_M5'!$B$4:$B$100,B5,'BvsC_M5'!$H$4:$H$100)+SUMIF('BvsC_M6'!$B$4:$B$100,B5,'BvsC_M6'!$H$4:$H$100)</f>
        <v/>
      </c>
      <c r="J5" s="32">
        <f>SUMIF('AvsB_M1'!$B$4:$B$100,B5,'AvsB_M1'!$I$4:$I$100)+SUMIF('AvsB_M2'!$B$4:$B$100,B5,'AvsB_M2'!$I$4:$I$100)+SUMIF('AvsB_M3'!$B$4:$B$100,B5,'AvsB_M3'!$I$4:$I$100)+SUMIF('AvsB_M4'!$B$4:$B$100,B5,'AvsB_M4'!$I$4:$I$100)+SUMIF('AvsB_M5'!$B$4:$B$100,B5,'AvsB_M5'!$I$4:$I$100)+SUMIF('AvsB_M6'!$B$4:$B$100,B5,'AvsB_M6'!$I$4:$I$100)+SUMIF('CvsD_M1'!$B$4:$B$100,B5,'CvsD_M1'!$I$4:$I$100)+SUMIF('CvsD_M2'!$B$4:$B$100,B5,'CvsD_M2'!$I$4:$I$100)+SUMIF('CvsD_M3'!$B$4:$B$100,B5,'CvsD_M3'!$I$4:$I$100)+SUMIF('CvsD_M4'!$B$4:$B$100,B5,'CvsD_M4'!$I$4:$I$100)+SUMIF('CvsD_M5'!$B$4:$B$100,B5,'CvsD_M5'!$I$4:$I$100)+SUMIF('CvsD_M6'!$B$4:$B$100,B5,'CvsD_M6'!$I$4:$I$100)+SUMIF('AvsC_M1'!$B$4:$B$100,B5,'AvsC_M1'!$I$4:$I$100)+SUMIF('AvsC_M2'!$B$4:$B$100,B5,'AvsC_M2'!$I$4:$I$100)+SUMIF('AvsC_M3'!$B$4:$B$100,B5,'AvsC_M3'!$I$4:$I$100)+SUMIF('AvsC_M4'!$B$4:$B$100,B5,'AvsC_M4'!$I$4:$I$100)+SUMIF('AvsC_M5'!$B$4:$B$100,B5,'AvsC_M5'!$I$4:$I$100)+SUMIF('AvsC_M6'!$B$4:$B$100,B5,'AvsC_M6'!$I$4:$I$100)+SUMIF('BvsD_M1'!$B$4:$B$100,B5,'BvsD_M1'!$I$4:$I$100)+SUMIF('BvsD_M2'!$B$4:$B$100,B5,'BvsD_M2'!$I$4:$I$100)+SUMIF('BvsD_M3'!$B$4:$B$100,B5,'BvsD_M3'!$I$4:$I$100)+SUMIF('BvsD_M4'!$B$4:$B$100,B5,'BvsD_M4'!$I$4:$I$100)+SUMIF('BvsD_M5'!$B$4:$B$100,B5,'BvsD_M5'!$I$4:$I$100)+SUMIF('BvsD_M6'!$B$4:$B$100,B5,'BvsD_M6'!$I$4:$I$100)+SUMIF('AvsD_M1'!$B$4:$B$100,B5,'AvsD_M1'!$I$4:$I$100)+SUMIF('AvsD_M2'!$B$4:$B$100,B5,'AvsD_M2'!$I$4:$I$100)+SUMIF('AvsD_M3'!$B$4:$B$100,B5,'AvsD_M3'!$I$4:$I$100)+SUMIF('AvsD_M4'!$B$4:$B$100,B5,'AvsD_M4'!$I$4:$I$100)+SUMIF('AvsD_M5'!$B$4:$B$100,B5,'AvsD_M5'!$I$4:$I$100)+SUMIF('AvsD_M6'!$B$4:$B$100,B5,'AvsD_M6'!$I$4:$I$100)+SUMIF('BvsC_M1'!$B$4:$B$100,B5,'BvsC_M1'!$I$4:$I$100)+SUMIF('BvsC_M2'!$B$4:$B$100,B5,'BvsC_M2'!$I$4:$I$100)+SUMIF('BvsC_M3'!$B$4:$B$100,B5,'BvsC_M3'!$I$4:$I$100)+SUMIF('BvsC_M4'!$B$4:$B$100,B5,'BvsC_M4'!$I$4:$I$100)+SUMIF('BvsC_M5'!$B$4:$B$100,B5,'BvsC_M5'!$I$4:$I$100)+SUMIF('BvsC_M6'!$B$4:$B$100,B5,'BvsC_M6'!$I$4:$I$100)</f>
        <v/>
      </c>
    </row>
    <row r="6">
      <c r="A6" s="32" t="n">
        <v>3</v>
      </c>
      <c r="B6" s="32" t="inlineStr">
        <is>
          <t>CITY TIGERS X</t>
        </is>
      </c>
      <c r="C6" s="32">
        <f>COUNTIF('AvsB_M1'!$B$4:$B$100,B6)+COUNTIF('AvsB_M2'!$B$4:$B$100,B6)+COUNTIF('AvsB_M3'!$B$4:$B$100,B6)+COUNTIF('AvsB_M4'!$B$4:$B$100,B6)+COUNTIF('AvsB_M5'!$B$4:$B$100,B6)+COUNTIF('AvsB_M6'!$B$4:$B$100,B6)+COUNTIF('CvsD_M1'!$B$4:$B$100,B6)+COUNTIF('CvsD_M2'!$B$4:$B$100,B6)+COUNTIF('CvsD_M3'!$B$4:$B$100,B6)+COUNTIF('CvsD_M4'!$B$4:$B$100,B6)+COUNTIF('CvsD_M5'!$B$4:$B$100,B6)+COUNTIF('CvsD_M6'!$B$4:$B$100,B6)+COUNTIF('AvsC_M1'!$B$4:$B$100,B6)+COUNTIF('AvsC_M2'!$B$4:$B$100,B6)+COUNTIF('AvsC_M3'!$B$4:$B$100,B6)+COUNTIF('AvsC_M4'!$B$4:$B$100,B6)+COUNTIF('AvsC_M5'!$B$4:$B$100,B6)+COUNTIF('AvsC_M6'!$B$4:$B$100,B6)+COUNTIF('BvsD_M1'!$B$4:$B$100,B6)+COUNTIF('BvsD_M2'!$B$4:$B$100,B6)+COUNTIF('BvsD_M3'!$B$4:$B$100,B6)+COUNTIF('BvsD_M4'!$B$4:$B$100,B6)+COUNTIF('BvsD_M5'!$B$4:$B$100,B6)+COUNTIF('BvsD_M6'!$B$4:$B$100,B6)+COUNTIF('AvsD_M1'!$B$4:$B$100,B6)+COUNTIF('AvsD_M2'!$B$4:$B$100,B6)+COUNTIF('AvsD_M3'!$B$4:$B$100,B6)+COUNTIF('AvsD_M4'!$B$4:$B$100,B6)+COUNTIF('AvsD_M5'!$B$4:$B$100,B6)+COUNTIF('AvsD_M6'!$B$4:$B$100,B6)+COUNTIF('BvsC_M1'!$B$4:$B$100,B6)+COUNTIF('BvsC_M2'!$B$4:$B$100,B6)+COUNTIF('BvsC_M3'!$B$4:$B$100,B6)+COUNTIF('BvsC_M4'!$B$4:$B$100,B6)+COUNTIF('BvsC_M5'!$B$4:$B$100,B6)+COUNTIF('BvsC_M6'!$B$4:$B$100,B6)</f>
        <v/>
      </c>
      <c r="D6" s="32">
        <f>SUMIF('AvsB_M1'!$B$4:$B$100,B6,'AvsB_M1'!$C$4:$C$100)+SUMIF('AvsB_M2'!$B$4:$B$100,B6,'AvsB_M2'!$C$4:$C$100)+SUMIF('AvsB_M3'!$B$4:$B$100,B6,'AvsB_M3'!$C$4:$C$100)+SUMIF('AvsB_M4'!$B$4:$B$100,B6,'AvsB_M4'!$C$4:$C$100)+SUMIF('AvsB_M5'!$B$4:$B$100,B6,'AvsB_M5'!$C$4:$C$100)+SUMIF('AvsB_M6'!$B$4:$B$100,B6,'AvsB_M6'!$C$4:$C$100)+SUMIF('CvsD_M1'!$B$4:$B$100,B6,'CvsD_M1'!$C$4:$C$100)+SUMIF('CvsD_M2'!$B$4:$B$100,B6,'CvsD_M2'!$C$4:$C$100)+SUMIF('CvsD_M3'!$B$4:$B$100,B6,'CvsD_M3'!$C$4:$C$100)+SUMIF('CvsD_M4'!$B$4:$B$100,B6,'CvsD_M4'!$C$4:$C$100)+SUMIF('CvsD_M5'!$B$4:$B$100,B6,'CvsD_M5'!$C$4:$C$100)+SUMIF('CvsD_M6'!$B$4:$B$100,B6,'CvsD_M6'!$C$4:$C$100)+SUMIF('AvsC_M1'!$B$4:$B$100,B6,'AvsC_M1'!$C$4:$C$100)+SUMIF('AvsC_M2'!$B$4:$B$100,B6,'AvsC_M2'!$C$4:$C$100)+SUMIF('AvsC_M3'!$B$4:$B$100,B6,'AvsC_M3'!$C$4:$C$100)+SUMIF('AvsC_M4'!$B$4:$B$100,B6,'AvsC_M4'!$C$4:$C$100)+SUMIF('AvsC_M5'!$B$4:$B$100,B6,'AvsC_M5'!$C$4:$C$100)+SUMIF('AvsC_M6'!$B$4:$B$100,B6,'AvsC_M6'!$C$4:$C$100)+SUMIF('BvsD_M1'!$B$4:$B$100,B6,'BvsD_M1'!$C$4:$C$100)+SUMIF('BvsD_M2'!$B$4:$B$100,B6,'BvsD_M2'!$C$4:$C$100)+SUMIF('BvsD_M3'!$B$4:$B$100,B6,'BvsD_M3'!$C$4:$C$100)+SUMIF('BvsD_M4'!$B$4:$B$100,B6,'BvsD_M4'!$C$4:$C$100)+SUMIF('BvsD_M5'!$B$4:$B$100,B6,'BvsD_M5'!$C$4:$C$100)+SUMIF('BvsD_M6'!$B$4:$B$100,B6,'BvsD_M6'!$C$4:$C$100)+SUMIF('AvsD_M1'!$B$4:$B$100,B6,'AvsD_M1'!$C$4:$C$100)+SUMIF('AvsD_M2'!$B$4:$B$100,B6,'AvsD_M2'!$C$4:$C$100)+SUMIF('AvsD_M3'!$B$4:$B$100,B6,'AvsD_M3'!$C$4:$C$100)+SUMIF('AvsD_M4'!$B$4:$B$100,B6,'AvsD_M4'!$C$4:$C$100)+SUMIF('AvsD_M5'!$B$4:$B$100,B6,'AvsD_M5'!$C$4:$C$100)+SUMIF('AvsD_M6'!$B$4:$B$100,B6,'AvsD_M6'!$C$4:$C$100)+SUMIF('BvsC_M1'!$B$4:$B$100,B6,'BvsC_M1'!$C$4:$C$100)+SUMIF('BvsC_M2'!$B$4:$B$100,B6,'BvsC_M2'!$C$4:$C$100)+SUMIF('BvsC_M3'!$B$4:$B$100,B6,'BvsC_M3'!$C$4:$C$100)+SUMIF('BvsC_M4'!$B$4:$B$100,B6,'BvsC_M4'!$C$4:$C$100)+SUMIF('BvsC_M5'!$B$4:$B$100,B6,'BvsC_M5'!$C$4:$C$100)+SUMIF('BvsC_M6'!$B$4:$B$100,B6,'BvsC_M6'!$C$4:$C$100)</f>
        <v/>
      </c>
      <c r="E6" s="32">
        <f>SUMIF('AvsB_M1'!$B$4:$B$100,B6,'AvsB_M1'!$D$4:$D$100)+SUMIF('AvsB_M2'!$B$4:$B$100,B6,'AvsB_M2'!$D$4:$D$100)+SUMIF('AvsB_M3'!$B$4:$B$100,B6,'AvsB_M3'!$D$4:$D$100)+SUMIF('AvsB_M4'!$B$4:$B$100,B6,'AvsB_M4'!$D$4:$D$100)+SUMIF('AvsB_M5'!$B$4:$B$100,B6,'AvsB_M5'!$D$4:$D$100)+SUMIF('AvsB_M6'!$B$4:$B$100,B6,'AvsB_M6'!$D$4:$D$100)+SUMIF('CvsD_M1'!$B$4:$B$100,B6,'CvsD_M1'!$D$4:$D$100)+SUMIF('CvsD_M2'!$B$4:$B$100,B6,'CvsD_M2'!$D$4:$D$100)+SUMIF('CvsD_M3'!$B$4:$B$100,B6,'CvsD_M3'!$D$4:$D$100)+SUMIF('CvsD_M4'!$B$4:$B$100,B6,'CvsD_M4'!$D$4:$D$100)+SUMIF('CvsD_M5'!$B$4:$B$100,B6,'CvsD_M5'!$D$4:$D$100)+SUMIF('CvsD_M6'!$B$4:$B$100,B6,'CvsD_M6'!$D$4:$D$100)+SUMIF('AvsC_M1'!$B$4:$B$100,B6,'AvsC_M1'!$D$4:$D$100)+SUMIF('AvsC_M2'!$B$4:$B$100,B6,'AvsC_M2'!$D$4:$D$100)+SUMIF('AvsC_M3'!$B$4:$B$100,B6,'AvsC_M3'!$D$4:$D$100)+SUMIF('AvsC_M4'!$B$4:$B$100,B6,'AvsC_M4'!$D$4:$D$100)+SUMIF('AvsC_M5'!$B$4:$B$100,B6,'AvsC_M5'!$D$4:$D$100)+SUMIF('AvsC_M6'!$B$4:$B$100,B6,'AvsC_M6'!$D$4:$D$100)+SUMIF('BvsD_M1'!$B$4:$B$100,B6,'BvsD_M1'!$D$4:$D$100)+SUMIF('BvsD_M2'!$B$4:$B$100,B6,'BvsD_M2'!$D$4:$D$100)+SUMIF('BvsD_M3'!$B$4:$B$100,B6,'BvsD_M3'!$D$4:$D$100)+SUMIF('BvsD_M4'!$B$4:$B$100,B6,'BvsD_M4'!$D$4:$D$100)+SUMIF('BvsD_M5'!$B$4:$B$100,B6,'BvsD_M5'!$D$4:$D$100)+SUMIF('BvsD_M6'!$B$4:$B$100,B6,'BvsD_M6'!$D$4:$D$100)+SUMIF('AvsD_M1'!$B$4:$B$100,B6,'AvsD_M1'!$D$4:$D$100)+SUMIF('AvsD_M2'!$B$4:$B$100,B6,'AvsD_M2'!$D$4:$D$100)+SUMIF('AvsD_M3'!$B$4:$B$100,B6,'AvsD_M3'!$D$4:$D$100)+SUMIF('AvsD_M4'!$B$4:$B$100,B6,'AvsD_M4'!$D$4:$D$100)+SUMIF('AvsD_M5'!$B$4:$B$100,B6,'AvsD_M5'!$D$4:$D$100)+SUMIF('AvsD_M6'!$B$4:$B$100,B6,'AvsD_M6'!$D$4:$D$100)+SUMIF('BvsC_M1'!$B$4:$B$100,B6,'BvsC_M1'!$D$4:$D$100)+SUMIF('BvsC_M2'!$B$4:$B$100,B6,'BvsC_M2'!$D$4:$D$100)+SUMIF('BvsC_M3'!$B$4:$B$100,B6,'BvsC_M3'!$D$4:$D$100)+SUMIF('BvsC_M4'!$B$4:$B$100,B6,'BvsC_M4'!$D$4:$D$100)+SUMIF('BvsC_M5'!$B$4:$B$100,B6,'BvsC_M5'!$D$4:$D$100)+SUMIF('BvsC_M6'!$B$4:$B$100,B6,'BvsC_M6'!$D$4:$D$100)</f>
        <v/>
      </c>
      <c r="F6" s="32">
        <f>SUMIF('AvsB_M1'!$B$4:$B$100,B6,'AvsB_M1'!$E$4:$E$100)+SUMIF('AvsB_M2'!$B$4:$B$100,B6,'AvsB_M2'!$E$4:$E$100)+SUMIF('AvsB_M3'!$B$4:$B$100,B6,'AvsB_M3'!$E$4:$E$100)+SUMIF('AvsB_M4'!$B$4:$B$100,B6,'AvsB_M4'!$E$4:$E$100)+SUMIF('AvsB_M5'!$B$4:$B$100,B6,'AvsB_M5'!$E$4:$E$100)+SUMIF('AvsB_M6'!$B$4:$B$100,B6,'AvsB_M6'!$E$4:$E$100)+SUMIF('CvsD_M1'!$B$4:$B$100,B6,'CvsD_M1'!$E$4:$E$100)+SUMIF('CvsD_M2'!$B$4:$B$100,B6,'CvsD_M2'!$E$4:$E$100)+SUMIF('CvsD_M3'!$B$4:$B$100,B6,'CvsD_M3'!$E$4:$E$100)+SUMIF('CvsD_M4'!$B$4:$B$100,B6,'CvsD_M4'!$E$4:$E$100)+SUMIF('CvsD_M5'!$B$4:$B$100,B6,'CvsD_M5'!$E$4:$E$100)+SUMIF('CvsD_M6'!$B$4:$B$100,B6,'CvsD_M6'!$E$4:$E$100)+SUMIF('AvsC_M1'!$B$4:$B$100,B6,'AvsC_M1'!$E$4:$E$100)+SUMIF('AvsC_M2'!$B$4:$B$100,B6,'AvsC_M2'!$E$4:$E$100)+SUMIF('AvsC_M3'!$B$4:$B$100,B6,'AvsC_M3'!$E$4:$E$100)+SUMIF('AvsC_M4'!$B$4:$B$100,B6,'AvsC_M4'!$E$4:$E$100)+SUMIF('AvsC_M5'!$B$4:$B$100,B6,'AvsC_M5'!$E$4:$E$100)+SUMIF('AvsC_M6'!$B$4:$B$100,B6,'AvsC_M6'!$E$4:$E$100)+SUMIF('BvsD_M1'!$B$4:$B$100,B6,'BvsD_M1'!$E$4:$E$100)+SUMIF('BvsD_M2'!$B$4:$B$100,B6,'BvsD_M2'!$E$4:$E$100)+SUMIF('BvsD_M3'!$B$4:$B$100,B6,'BvsD_M3'!$E$4:$E$100)+SUMIF('BvsD_M4'!$B$4:$B$100,B6,'BvsD_M4'!$E$4:$E$100)+SUMIF('BvsD_M5'!$B$4:$B$100,B6,'BvsD_M5'!$E$4:$E$100)+SUMIF('BvsD_M6'!$B$4:$B$100,B6,'BvsD_M6'!$E$4:$E$100)+SUMIF('AvsD_M1'!$B$4:$B$100,B6,'AvsD_M1'!$E$4:$E$100)+SUMIF('AvsD_M2'!$B$4:$B$100,B6,'AvsD_M2'!$E$4:$E$100)+SUMIF('AvsD_M3'!$B$4:$B$100,B6,'AvsD_M3'!$E$4:$E$100)+SUMIF('AvsD_M4'!$B$4:$B$100,B6,'AvsD_M4'!$E$4:$E$100)+SUMIF('AvsD_M5'!$B$4:$B$100,B6,'AvsD_M5'!$E$4:$E$100)+SUMIF('AvsD_M6'!$B$4:$B$100,B6,'AvsD_M6'!$E$4:$E$100)+SUMIF('BvsC_M1'!$B$4:$B$100,B6,'BvsC_M1'!$E$4:$E$100)+SUMIF('BvsC_M2'!$B$4:$B$100,B6,'BvsC_M2'!$E$4:$E$100)+SUMIF('BvsC_M3'!$B$4:$B$100,B6,'BvsC_M3'!$E$4:$E$100)+SUMIF('BvsC_M4'!$B$4:$B$100,B6,'BvsC_M4'!$E$4:$E$100)+SUMIF('BvsC_M5'!$B$4:$B$100,B6,'BvsC_M5'!$E$4:$E$100)+SUMIF('BvsC_M6'!$B$4:$B$100,B6,'BvsC_M6'!$E$4:$E$100)</f>
        <v/>
      </c>
      <c r="G6" s="32">
        <f>SUMIF('AvsB_M1'!$B$4:$B$100,B6,'AvsB_M1'!$F$4:$F$100)+SUMIF('AvsB_M2'!$B$4:$B$100,B6,'AvsB_M2'!$F$4:$F$100)+SUMIF('AvsB_M3'!$B$4:$B$100,B6,'AvsB_M3'!$F$4:$F$100)+SUMIF('AvsB_M4'!$B$4:$B$100,B6,'AvsB_M4'!$F$4:$F$100)+SUMIF('AvsB_M5'!$B$4:$B$100,B6,'AvsB_M5'!$F$4:$F$100)+SUMIF('AvsB_M6'!$B$4:$B$100,B6,'AvsB_M6'!$F$4:$F$100)+SUMIF('CvsD_M1'!$B$4:$B$100,B6,'CvsD_M1'!$F$4:$F$100)+SUMIF('CvsD_M2'!$B$4:$B$100,B6,'CvsD_M2'!$F$4:$F$100)+SUMIF('CvsD_M3'!$B$4:$B$100,B6,'CvsD_M3'!$F$4:$F$100)+SUMIF('CvsD_M4'!$B$4:$B$100,B6,'CvsD_M4'!$F$4:$F$100)+SUMIF('CvsD_M5'!$B$4:$B$100,B6,'CvsD_M5'!$F$4:$F$100)+SUMIF('CvsD_M6'!$B$4:$B$100,B6,'CvsD_M6'!$F$4:$F$100)+SUMIF('AvsC_M1'!$B$4:$B$100,B6,'AvsC_M1'!$F$4:$F$100)+SUMIF('AvsC_M2'!$B$4:$B$100,B6,'AvsC_M2'!$F$4:$F$100)+SUMIF('AvsC_M3'!$B$4:$B$100,B6,'AvsC_M3'!$F$4:$F$100)+SUMIF('AvsC_M4'!$B$4:$B$100,B6,'AvsC_M4'!$F$4:$F$100)+SUMIF('AvsC_M5'!$B$4:$B$100,B6,'AvsC_M5'!$F$4:$F$100)+SUMIF('AvsC_M6'!$B$4:$B$100,B6,'AvsC_M6'!$F$4:$F$100)+SUMIF('BvsD_M1'!$B$4:$B$100,B6,'BvsD_M1'!$F$4:$F$100)+SUMIF('BvsD_M2'!$B$4:$B$100,B6,'BvsD_M2'!$F$4:$F$100)+SUMIF('BvsD_M3'!$B$4:$B$100,B6,'BvsD_M3'!$F$4:$F$100)+SUMIF('BvsD_M4'!$B$4:$B$100,B6,'BvsD_M4'!$F$4:$F$100)+SUMIF('BvsD_M5'!$B$4:$B$100,B6,'BvsD_M5'!$F$4:$F$100)+SUMIF('BvsD_M6'!$B$4:$B$100,B6,'BvsD_M6'!$F$4:$F$100)+SUMIF('AvsD_M1'!$B$4:$B$100,B6,'AvsD_M1'!$F$4:$F$100)+SUMIF('AvsD_M2'!$B$4:$B$100,B6,'AvsD_M2'!$F$4:$F$100)+SUMIF('AvsD_M3'!$B$4:$B$100,B6,'AvsD_M3'!$F$4:$F$100)+SUMIF('AvsD_M4'!$B$4:$B$100,B6,'AvsD_M4'!$F$4:$F$100)+SUMIF('AvsD_M5'!$B$4:$B$100,B6,'AvsD_M5'!$F$4:$F$100)+SUMIF('AvsD_M6'!$B$4:$B$100,B6,'AvsD_M6'!$F$4:$F$100)+SUMIF('BvsC_M1'!$B$4:$B$100,B6,'BvsC_M1'!$F$4:$F$100)+SUMIF('BvsC_M2'!$B$4:$B$100,B6,'BvsC_M2'!$F$4:$F$100)+SUMIF('BvsC_M3'!$B$4:$B$100,B6,'BvsC_M3'!$F$4:$F$100)+SUMIF('BvsC_M4'!$B$4:$B$100,B6,'BvsC_M4'!$F$4:$F$100)+SUMIF('BvsC_M5'!$B$4:$B$100,B6,'BvsC_M5'!$F$4:$F$100)+SUMIF('BvsC_M6'!$B$4:$B$100,B6,'BvsC_M6'!$F$4:$F$100)</f>
        <v/>
      </c>
      <c r="H6" s="32">
        <f>SUMIF('AvsB_M1'!$B$4:$B$100,B6,'AvsB_M1'!$G$4:$G$100)+SUMIF('AvsB_M2'!$B$4:$B$100,B6,'AvsB_M2'!$G$4:$G$100)+SUMIF('AvsB_M3'!$B$4:$B$100,B6,'AvsB_M3'!$G$4:$G$100)+SUMIF('AvsB_M4'!$B$4:$B$100,B6,'AvsB_M4'!$G$4:$G$100)+SUMIF('AvsB_M5'!$B$4:$B$100,B6,'AvsB_M5'!$G$4:$G$100)+SUMIF('AvsB_M6'!$B$4:$B$100,B6,'AvsB_M6'!$G$4:$G$100)+SUMIF('CvsD_M1'!$B$4:$B$100,B6,'CvsD_M1'!$G$4:$G$100)+SUMIF('CvsD_M2'!$B$4:$B$100,B6,'CvsD_M2'!$G$4:$G$100)+SUMIF('CvsD_M3'!$B$4:$B$100,B6,'CvsD_M3'!$G$4:$G$100)+SUMIF('CvsD_M4'!$B$4:$B$100,B6,'CvsD_M4'!$G$4:$G$100)+SUMIF('CvsD_M5'!$B$4:$B$100,B6,'CvsD_M5'!$G$4:$G$100)+SUMIF('CvsD_M6'!$B$4:$B$100,B6,'CvsD_M6'!$G$4:$G$100)+SUMIF('AvsC_M1'!$B$4:$B$100,B6,'AvsC_M1'!$G$4:$G$100)+SUMIF('AvsC_M2'!$B$4:$B$100,B6,'AvsC_M2'!$G$4:$G$100)+SUMIF('AvsC_M3'!$B$4:$B$100,B6,'AvsC_M3'!$G$4:$G$100)+SUMIF('AvsC_M4'!$B$4:$B$100,B6,'AvsC_M4'!$G$4:$G$100)+SUMIF('AvsC_M5'!$B$4:$B$100,B6,'AvsC_M5'!$G$4:$G$100)+SUMIF('AvsC_M6'!$B$4:$B$100,B6,'AvsC_M6'!$G$4:$G$100)+SUMIF('BvsD_M1'!$B$4:$B$100,B6,'BvsD_M1'!$G$4:$G$100)+SUMIF('BvsD_M2'!$B$4:$B$100,B6,'BvsD_M2'!$G$4:$G$100)+SUMIF('BvsD_M3'!$B$4:$B$100,B6,'BvsD_M3'!$G$4:$G$100)+SUMIF('BvsD_M4'!$B$4:$B$100,B6,'BvsD_M4'!$G$4:$G$100)+SUMIF('BvsD_M5'!$B$4:$B$100,B6,'BvsD_M5'!$G$4:$G$100)+SUMIF('BvsD_M6'!$B$4:$B$100,B6,'BvsD_M6'!$G$4:$G$100)+SUMIF('AvsD_M1'!$B$4:$B$100,B6,'AvsD_M1'!$G$4:$G$100)+SUMIF('AvsD_M2'!$B$4:$B$100,B6,'AvsD_M2'!$G$4:$G$100)+SUMIF('AvsD_M3'!$B$4:$B$100,B6,'AvsD_M3'!$G$4:$G$100)+SUMIF('AvsD_M4'!$B$4:$B$100,B6,'AvsD_M4'!$G$4:$G$100)+SUMIF('AvsD_M5'!$B$4:$B$100,B6,'AvsD_M5'!$G$4:$G$100)+SUMIF('AvsD_M6'!$B$4:$B$100,B6,'AvsD_M6'!$G$4:$G$100)+SUMIF('BvsC_M1'!$B$4:$B$100,B6,'BvsC_M1'!$G$4:$G$100)+SUMIF('BvsC_M2'!$B$4:$B$100,B6,'BvsC_M2'!$G$4:$G$100)+SUMIF('BvsC_M3'!$B$4:$B$100,B6,'BvsC_M3'!$G$4:$G$100)+SUMIF('BvsC_M4'!$B$4:$B$100,B6,'BvsC_M4'!$G$4:$G$100)+SUMIF('BvsC_M5'!$B$4:$B$100,B6,'BvsC_M5'!$G$4:$G$100)+SUMIF('BvsC_M6'!$B$4:$B$100,B6,'BvsC_M6'!$G$4:$G$100)</f>
        <v/>
      </c>
      <c r="I6" s="32">
        <f>SUMIF('AvsB_M1'!$B$4:$B$100,B6,'AvsB_M1'!$H$4:$H$100)+SUMIF('AvsB_M2'!$B$4:$B$100,B6,'AvsB_M2'!$H$4:$H$100)+SUMIF('AvsB_M3'!$B$4:$B$100,B6,'AvsB_M3'!$H$4:$H$100)+SUMIF('AvsB_M4'!$B$4:$B$100,B6,'AvsB_M4'!$H$4:$H$100)+SUMIF('AvsB_M5'!$B$4:$B$100,B6,'AvsB_M5'!$H$4:$H$100)+SUMIF('AvsB_M6'!$B$4:$B$100,B6,'AvsB_M6'!$H$4:$H$100)+SUMIF('CvsD_M1'!$B$4:$B$100,B6,'CvsD_M1'!$H$4:$H$100)+SUMIF('CvsD_M2'!$B$4:$B$100,B6,'CvsD_M2'!$H$4:$H$100)+SUMIF('CvsD_M3'!$B$4:$B$100,B6,'CvsD_M3'!$H$4:$H$100)+SUMIF('CvsD_M4'!$B$4:$B$100,B6,'CvsD_M4'!$H$4:$H$100)+SUMIF('CvsD_M5'!$B$4:$B$100,B6,'CvsD_M5'!$H$4:$H$100)+SUMIF('CvsD_M6'!$B$4:$B$100,B6,'CvsD_M6'!$H$4:$H$100)+SUMIF('AvsC_M1'!$B$4:$B$100,B6,'AvsC_M1'!$H$4:$H$100)+SUMIF('AvsC_M2'!$B$4:$B$100,B6,'AvsC_M2'!$H$4:$H$100)+SUMIF('AvsC_M3'!$B$4:$B$100,B6,'AvsC_M3'!$H$4:$H$100)+SUMIF('AvsC_M4'!$B$4:$B$100,B6,'AvsC_M4'!$H$4:$H$100)+SUMIF('AvsC_M5'!$B$4:$B$100,B6,'AvsC_M5'!$H$4:$H$100)+SUMIF('AvsC_M6'!$B$4:$B$100,B6,'AvsC_M6'!$H$4:$H$100)+SUMIF('BvsD_M1'!$B$4:$B$100,B6,'BvsD_M1'!$H$4:$H$100)+SUMIF('BvsD_M2'!$B$4:$B$100,B6,'BvsD_M2'!$H$4:$H$100)+SUMIF('BvsD_M3'!$B$4:$B$100,B6,'BvsD_M3'!$H$4:$H$100)+SUMIF('BvsD_M4'!$B$4:$B$100,B6,'BvsD_M4'!$H$4:$H$100)+SUMIF('BvsD_M5'!$B$4:$B$100,B6,'BvsD_M5'!$H$4:$H$100)+SUMIF('BvsD_M6'!$B$4:$B$100,B6,'BvsD_M6'!$H$4:$H$100)+SUMIF('AvsD_M1'!$B$4:$B$100,B6,'AvsD_M1'!$H$4:$H$100)+SUMIF('AvsD_M2'!$B$4:$B$100,B6,'AvsD_M2'!$H$4:$H$100)+SUMIF('AvsD_M3'!$B$4:$B$100,B6,'AvsD_M3'!$H$4:$H$100)+SUMIF('AvsD_M4'!$B$4:$B$100,B6,'AvsD_M4'!$H$4:$H$100)+SUMIF('AvsD_M5'!$B$4:$B$100,B6,'AvsD_M5'!$H$4:$H$100)+SUMIF('AvsD_M6'!$B$4:$B$100,B6,'AvsD_M6'!$H$4:$H$100)+SUMIF('BvsC_M1'!$B$4:$B$100,B6,'BvsC_M1'!$H$4:$H$100)+SUMIF('BvsC_M2'!$B$4:$B$100,B6,'BvsC_M2'!$H$4:$H$100)+SUMIF('BvsC_M3'!$B$4:$B$100,B6,'BvsC_M3'!$H$4:$H$100)+SUMIF('BvsC_M4'!$B$4:$B$100,B6,'BvsC_M4'!$H$4:$H$100)+SUMIF('BvsC_M5'!$B$4:$B$100,B6,'BvsC_M5'!$H$4:$H$100)+SUMIF('BvsC_M6'!$B$4:$B$100,B6,'BvsC_M6'!$H$4:$H$100)</f>
        <v/>
      </c>
      <c r="J6" s="32">
        <f>SUMIF('AvsB_M1'!$B$4:$B$100,B6,'AvsB_M1'!$I$4:$I$100)+SUMIF('AvsB_M2'!$B$4:$B$100,B6,'AvsB_M2'!$I$4:$I$100)+SUMIF('AvsB_M3'!$B$4:$B$100,B6,'AvsB_M3'!$I$4:$I$100)+SUMIF('AvsB_M4'!$B$4:$B$100,B6,'AvsB_M4'!$I$4:$I$100)+SUMIF('AvsB_M5'!$B$4:$B$100,B6,'AvsB_M5'!$I$4:$I$100)+SUMIF('AvsB_M6'!$B$4:$B$100,B6,'AvsB_M6'!$I$4:$I$100)+SUMIF('CvsD_M1'!$B$4:$B$100,B6,'CvsD_M1'!$I$4:$I$100)+SUMIF('CvsD_M2'!$B$4:$B$100,B6,'CvsD_M2'!$I$4:$I$100)+SUMIF('CvsD_M3'!$B$4:$B$100,B6,'CvsD_M3'!$I$4:$I$100)+SUMIF('CvsD_M4'!$B$4:$B$100,B6,'CvsD_M4'!$I$4:$I$100)+SUMIF('CvsD_M5'!$B$4:$B$100,B6,'CvsD_M5'!$I$4:$I$100)+SUMIF('CvsD_M6'!$B$4:$B$100,B6,'CvsD_M6'!$I$4:$I$100)+SUMIF('AvsC_M1'!$B$4:$B$100,B6,'AvsC_M1'!$I$4:$I$100)+SUMIF('AvsC_M2'!$B$4:$B$100,B6,'AvsC_M2'!$I$4:$I$100)+SUMIF('AvsC_M3'!$B$4:$B$100,B6,'AvsC_M3'!$I$4:$I$100)+SUMIF('AvsC_M4'!$B$4:$B$100,B6,'AvsC_M4'!$I$4:$I$100)+SUMIF('AvsC_M5'!$B$4:$B$100,B6,'AvsC_M5'!$I$4:$I$100)+SUMIF('AvsC_M6'!$B$4:$B$100,B6,'AvsC_M6'!$I$4:$I$100)+SUMIF('BvsD_M1'!$B$4:$B$100,B6,'BvsD_M1'!$I$4:$I$100)+SUMIF('BvsD_M2'!$B$4:$B$100,B6,'BvsD_M2'!$I$4:$I$100)+SUMIF('BvsD_M3'!$B$4:$B$100,B6,'BvsD_M3'!$I$4:$I$100)+SUMIF('BvsD_M4'!$B$4:$B$100,B6,'BvsD_M4'!$I$4:$I$100)+SUMIF('BvsD_M5'!$B$4:$B$100,B6,'BvsD_M5'!$I$4:$I$100)+SUMIF('BvsD_M6'!$B$4:$B$100,B6,'BvsD_M6'!$I$4:$I$100)+SUMIF('AvsD_M1'!$B$4:$B$100,B6,'AvsD_M1'!$I$4:$I$100)+SUMIF('AvsD_M2'!$B$4:$B$100,B6,'AvsD_M2'!$I$4:$I$100)+SUMIF('AvsD_M3'!$B$4:$B$100,B6,'AvsD_M3'!$I$4:$I$100)+SUMIF('AvsD_M4'!$B$4:$B$100,B6,'AvsD_M4'!$I$4:$I$100)+SUMIF('AvsD_M5'!$B$4:$B$100,B6,'AvsD_M5'!$I$4:$I$100)+SUMIF('AvsD_M6'!$B$4:$B$100,B6,'AvsD_M6'!$I$4:$I$100)+SUMIF('BvsC_M1'!$B$4:$B$100,B6,'BvsC_M1'!$I$4:$I$100)+SUMIF('BvsC_M2'!$B$4:$B$100,B6,'BvsC_M2'!$I$4:$I$100)+SUMIF('BvsC_M3'!$B$4:$B$100,B6,'BvsC_M3'!$I$4:$I$100)+SUMIF('BvsC_M4'!$B$4:$B$100,B6,'BvsC_M4'!$I$4:$I$100)+SUMIF('BvsC_M5'!$B$4:$B$100,B6,'BvsC_M5'!$I$4:$I$100)+SUMIF('BvsC_M6'!$B$4:$B$100,B6,'BvsC_M6'!$I$4:$I$100)</f>
        <v/>
      </c>
    </row>
    <row r="7">
      <c r="A7" s="32" t="n">
        <v>4</v>
      </c>
      <c r="B7" s="32" t="inlineStr">
        <is>
          <t>DANJAAR</t>
        </is>
      </c>
      <c r="C7" s="32">
        <f>COUNTIF('AvsB_M1'!$B$4:$B$100,B7)+COUNTIF('AvsB_M2'!$B$4:$B$100,B7)+COUNTIF('AvsB_M3'!$B$4:$B$100,B7)+COUNTIF('AvsB_M4'!$B$4:$B$100,B7)+COUNTIF('AvsB_M5'!$B$4:$B$100,B7)+COUNTIF('AvsB_M6'!$B$4:$B$100,B7)+COUNTIF('CvsD_M1'!$B$4:$B$100,B7)+COUNTIF('CvsD_M2'!$B$4:$B$100,B7)+COUNTIF('CvsD_M3'!$B$4:$B$100,B7)+COUNTIF('CvsD_M4'!$B$4:$B$100,B7)+COUNTIF('CvsD_M5'!$B$4:$B$100,B7)+COUNTIF('CvsD_M6'!$B$4:$B$100,B7)+COUNTIF('AvsC_M1'!$B$4:$B$100,B7)+COUNTIF('AvsC_M2'!$B$4:$B$100,B7)+COUNTIF('AvsC_M3'!$B$4:$B$100,B7)+COUNTIF('AvsC_M4'!$B$4:$B$100,B7)+COUNTIF('AvsC_M5'!$B$4:$B$100,B7)+COUNTIF('AvsC_M6'!$B$4:$B$100,B7)+COUNTIF('BvsD_M1'!$B$4:$B$100,B7)+COUNTIF('BvsD_M2'!$B$4:$B$100,B7)+COUNTIF('BvsD_M3'!$B$4:$B$100,B7)+COUNTIF('BvsD_M4'!$B$4:$B$100,B7)+COUNTIF('BvsD_M5'!$B$4:$B$100,B7)+COUNTIF('BvsD_M6'!$B$4:$B$100,B7)+COUNTIF('AvsD_M1'!$B$4:$B$100,B7)+COUNTIF('AvsD_M2'!$B$4:$B$100,B7)+COUNTIF('AvsD_M3'!$B$4:$B$100,B7)+COUNTIF('AvsD_M4'!$B$4:$B$100,B7)+COUNTIF('AvsD_M5'!$B$4:$B$100,B7)+COUNTIF('AvsD_M6'!$B$4:$B$100,B7)+COUNTIF('BvsC_M1'!$B$4:$B$100,B7)+COUNTIF('BvsC_M2'!$B$4:$B$100,B7)+COUNTIF('BvsC_M3'!$B$4:$B$100,B7)+COUNTIF('BvsC_M4'!$B$4:$B$100,B7)+COUNTIF('BvsC_M5'!$B$4:$B$100,B7)+COUNTIF('BvsC_M6'!$B$4:$B$100,B7)</f>
        <v/>
      </c>
      <c r="D7" s="32">
        <f>SUMIF('AvsB_M1'!$B$4:$B$100,B7,'AvsB_M1'!$C$4:$C$100)+SUMIF('AvsB_M2'!$B$4:$B$100,B7,'AvsB_M2'!$C$4:$C$100)+SUMIF('AvsB_M3'!$B$4:$B$100,B7,'AvsB_M3'!$C$4:$C$100)+SUMIF('AvsB_M4'!$B$4:$B$100,B7,'AvsB_M4'!$C$4:$C$100)+SUMIF('AvsB_M5'!$B$4:$B$100,B7,'AvsB_M5'!$C$4:$C$100)+SUMIF('AvsB_M6'!$B$4:$B$100,B7,'AvsB_M6'!$C$4:$C$100)+SUMIF('CvsD_M1'!$B$4:$B$100,B7,'CvsD_M1'!$C$4:$C$100)+SUMIF('CvsD_M2'!$B$4:$B$100,B7,'CvsD_M2'!$C$4:$C$100)+SUMIF('CvsD_M3'!$B$4:$B$100,B7,'CvsD_M3'!$C$4:$C$100)+SUMIF('CvsD_M4'!$B$4:$B$100,B7,'CvsD_M4'!$C$4:$C$100)+SUMIF('CvsD_M5'!$B$4:$B$100,B7,'CvsD_M5'!$C$4:$C$100)+SUMIF('CvsD_M6'!$B$4:$B$100,B7,'CvsD_M6'!$C$4:$C$100)+SUMIF('AvsC_M1'!$B$4:$B$100,B7,'AvsC_M1'!$C$4:$C$100)+SUMIF('AvsC_M2'!$B$4:$B$100,B7,'AvsC_M2'!$C$4:$C$100)+SUMIF('AvsC_M3'!$B$4:$B$100,B7,'AvsC_M3'!$C$4:$C$100)+SUMIF('AvsC_M4'!$B$4:$B$100,B7,'AvsC_M4'!$C$4:$C$100)+SUMIF('AvsC_M5'!$B$4:$B$100,B7,'AvsC_M5'!$C$4:$C$100)+SUMIF('AvsC_M6'!$B$4:$B$100,B7,'AvsC_M6'!$C$4:$C$100)+SUMIF('BvsD_M1'!$B$4:$B$100,B7,'BvsD_M1'!$C$4:$C$100)+SUMIF('BvsD_M2'!$B$4:$B$100,B7,'BvsD_M2'!$C$4:$C$100)+SUMIF('BvsD_M3'!$B$4:$B$100,B7,'BvsD_M3'!$C$4:$C$100)+SUMIF('BvsD_M4'!$B$4:$B$100,B7,'BvsD_M4'!$C$4:$C$100)+SUMIF('BvsD_M5'!$B$4:$B$100,B7,'BvsD_M5'!$C$4:$C$100)+SUMIF('BvsD_M6'!$B$4:$B$100,B7,'BvsD_M6'!$C$4:$C$100)+SUMIF('AvsD_M1'!$B$4:$B$100,B7,'AvsD_M1'!$C$4:$C$100)+SUMIF('AvsD_M2'!$B$4:$B$100,B7,'AvsD_M2'!$C$4:$C$100)+SUMIF('AvsD_M3'!$B$4:$B$100,B7,'AvsD_M3'!$C$4:$C$100)+SUMIF('AvsD_M4'!$B$4:$B$100,B7,'AvsD_M4'!$C$4:$C$100)+SUMIF('AvsD_M5'!$B$4:$B$100,B7,'AvsD_M5'!$C$4:$C$100)+SUMIF('AvsD_M6'!$B$4:$B$100,B7,'AvsD_M6'!$C$4:$C$100)+SUMIF('BvsC_M1'!$B$4:$B$100,B7,'BvsC_M1'!$C$4:$C$100)+SUMIF('BvsC_M2'!$B$4:$B$100,B7,'BvsC_M2'!$C$4:$C$100)+SUMIF('BvsC_M3'!$B$4:$B$100,B7,'BvsC_M3'!$C$4:$C$100)+SUMIF('BvsC_M4'!$B$4:$B$100,B7,'BvsC_M4'!$C$4:$C$100)+SUMIF('BvsC_M5'!$B$4:$B$100,B7,'BvsC_M5'!$C$4:$C$100)+SUMIF('BvsC_M6'!$B$4:$B$100,B7,'BvsC_M6'!$C$4:$C$100)</f>
        <v/>
      </c>
      <c r="E7" s="32">
        <f>SUMIF('AvsB_M1'!$B$4:$B$100,B7,'AvsB_M1'!$D$4:$D$100)+SUMIF('AvsB_M2'!$B$4:$B$100,B7,'AvsB_M2'!$D$4:$D$100)+SUMIF('AvsB_M3'!$B$4:$B$100,B7,'AvsB_M3'!$D$4:$D$100)+SUMIF('AvsB_M4'!$B$4:$B$100,B7,'AvsB_M4'!$D$4:$D$100)+SUMIF('AvsB_M5'!$B$4:$B$100,B7,'AvsB_M5'!$D$4:$D$100)+SUMIF('AvsB_M6'!$B$4:$B$100,B7,'AvsB_M6'!$D$4:$D$100)+SUMIF('CvsD_M1'!$B$4:$B$100,B7,'CvsD_M1'!$D$4:$D$100)+SUMIF('CvsD_M2'!$B$4:$B$100,B7,'CvsD_M2'!$D$4:$D$100)+SUMIF('CvsD_M3'!$B$4:$B$100,B7,'CvsD_M3'!$D$4:$D$100)+SUMIF('CvsD_M4'!$B$4:$B$100,B7,'CvsD_M4'!$D$4:$D$100)+SUMIF('CvsD_M5'!$B$4:$B$100,B7,'CvsD_M5'!$D$4:$D$100)+SUMIF('CvsD_M6'!$B$4:$B$100,B7,'CvsD_M6'!$D$4:$D$100)+SUMIF('AvsC_M1'!$B$4:$B$100,B7,'AvsC_M1'!$D$4:$D$100)+SUMIF('AvsC_M2'!$B$4:$B$100,B7,'AvsC_M2'!$D$4:$D$100)+SUMIF('AvsC_M3'!$B$4:$B$100,B7,'AvsC_M3'!$D$4:$D$100)+SUMIF('AvsC_M4'!$B$4:$B$100,B7,'AvsC_M4'!$D$4:$D$100)+SUMIF('AvsC_M5'!$B$4:$B$100,B7,'AvsC_M5'!$D$4:$D$100)+SUMIF('AvsC_M6'!$B$4:$B$100,B7,'AvsC_M6'!$D$4:$D$100)+SUMIF('BvsD_M1'!$B$4:$B$100,B7,'BvsD_M1'!$D$4:$D$100)+SUMIF('BvsD_M2'!$B$4:$B$100,B7,'BvsD_M2'!$D$4:$D$100)+SUMIF('BvsD_M3'!$B$4:$B$100,B7,'BvsD_M3'!$D$4:$D$100)+SUMIF('BvsD_M4'!$B$4:$B$100,B7,'BvsD_M4'!$D$4:$D$100)+SUMIF('BvsD_M5'!$B$4:$B$100,B7,'BvsD_M5'!$D$4:$D$100)+SUMIF('BvsD_M6'!$B$4:$B$100,B7,'BvsD_M6'!$D$4:$D$100)+SUMIF('AvsD_M1'!$B$4:$B$100,B7,'AvsD_M1'!$D$4:$D$100)+SUMIF('AvsD_M2'!$B$4:$B$100,B7,'AvsD_M2'!$D$4:$D$100)+SUMIF('AvsD_M3'!$B$4:$B$100,B7,'AvsD_M3'!$D$4:$D$100)+SUMIF('AvsD_M4'!$B$4:$B$100,B7,'AvsD_M4'!$D$4:$D$100)+SUMIF('AvsD_M5'!$B$4:$B$100,B7,'AvsD_M5'!$D$4:$D$100)+SUMIF('AvsD_M6'!$B$4:$B$100,B7,'AvsD_M6'!$D$4:$D$100)+SUMIF('BvsC_M1'!$B$4:$B$100,B7,'BvsC_M1'!$D$4:$D$100)+SUMIF('BvsC_M2'!$B$4:$B$100,B7,'BvsC_M2'!$D$4:$D$100)+SUMIF('BvsC_M3'!$B$4:$B$100,B7,'BvsC_M3'!$D$4:$D$100)+SUMIF('BvsC_M4'!$B$4:$B$100,B7,'BvsC_M4'!$D$4:$D$100)+SUMIF('BvsC_M5'!$B$4:$B$100,B7,'BvsC_M5'!$D$4:$D$100)+SUMIF('BvsC_M6'!$B$4:$B$100,B7,'BvsC_M6'!$D$4:$D$100)</f>
        <v/>
      </c>
      <c r="F7" s="32">
        <f>SUMIF('AvsB_M1'!$B$4:$B$100,B7,'AvsB_M1'!$E$4:$E$100)+SUMIF('AvsB_M2'!$B$4:$B$100,B7,'AvsB_M2'!$E$4:$E$100)+SUMIF('AvsB_M3'!$B$4:$B$100,B7,'AvsB_M3'!$E$4:$E$100)+SUMIF('AvsB_M4'!$B$4:$B$100,B7,'AvsB_M4'!$E$4:$E$100)+SUMIF('AvsB_M5'!$B$4:$B$100,B7,'AvsB_M5'!$E$4:$E$100)+SUMIF('AvsB_M6'!$B$4:$B$100,B7,'AvsB_M6'!$E$4:$E$100)+SUMIF('CvsD_M1'!$B$4:$B$100,B7,'CvsD_M1'!$E$4:$E$100)+SUMIF('CvsD_M2'!$B$4:$B$100,B7,'CvsD_M2'!$E$4:$E$100)+SUMIF('CvsD_M3'!$B$4:$B$100,B7,'CvsD_M3'!$E$4:$E$100)+SUMIF('CvsD_M4'!$B$4:$B$100,B7,'CvsD_M4'!$E$4:$E$100)+SUMIF('CvsD_M5'!$B$4:$B$100,B7,'CvsD_M5'!$E$4:$E$100)+SUMIF('CvsD_M6'!$B$4:$B$100,B7,'CvsD_M6'!$E$4:$E$100)+SUMIF('AvsC_M1'!$B$4:$B$100,B7,'AvsC_M1'!$E$4:$E$100)+SUMIF('AvsC_M2'!$B$4:$B$100,B7,'AvsC_M2'!$E$4:$E$100)+SUMIF('AvsC_M3'!$B$4:$B$100,B7,'AvsC_M3'!$E$4:$E$100)+SUMIF('AvsC_M4'!$B$4:$B$100,B7,'AvsC_M4'!$E$4:$E$100)+SUMIF('AvsC_M5'!$B$4:$B$100,B7,'AvsC_M5'!$E$4:$E$100)+SUMIF('AvsC_M6'!$B$4:$B$100,B7,'AvsC_M6'!$E$4:$E$100)+SUMIF('BvsD_M1'!$B$4:$B$100,B7,'BvsD_M1'!$E$4:$E$100)+SUMIF('BvsD_M2'!$B$4:$B$100,B7,'BvsD_M2'!$E$4:$E$100)+SUMIF('BvsD_M3'!$B$4:$B$100,B7,'BvsD_M3'!$E$4:$E$100)+SUMIF('BvsD_M4'!$B$4:$B$100,B7,'BvsD_M4'!$E$4:$E$100)+SUMIF('BvsD_M5'!$B$4:$B$100,B7,'BvsD_M5'!$E$4:$E$100)+SUMIF('BvsD_M6'!$B$4:$B$100,B7,'BvsD_M6'!$E$4:$E$100)+SUMIF('AvsD_M1'!$B$4:$B$100,B7,'AvsD_M1'!$E$4:$E$100)+SUMIF('AvsD_M2'!$B$4:$B$100,B7,'AvsD_M2'!$E$4:$E$100)+SUMIF('AvsD_M3'!$B$4:$B$100,B7,'AvsD_M3'!$E$4:$E$100)+SUMIF('AvsD_M4'!$B$4:$B$100,B7,'AvsD_M4'!$E$4:$E$100)+SUMIF('AvsD_M5'!$B$4:$B$100,B7,'AvsD_M5'!$E$4:$E$100)+SUMIF('AvsD_M6'!$B$4:$B$100,B7,'AvsD_M6'!$E$4:$E$100)+SUMIF('BvsC_M1'!$B$4:$B$100,B7,'BvsC_M1'!$E$4:$E$100)+SUMIF('BvsC_M2'!$B$4:$B$100,B7,'BvsC_M2'!$E$4:$E$100)+SUMIF('BvsC_M3'!$B$4:$B$100,B7,'BvsC_M3'!$E$4:$E$100)+SUMIF('BvsC_M4'!$B$4:$B$100,B7,'BvsC_M4'!$E$4:$E$100)+SUMIF('BvsC_M5'!$B$4:$B$100,B7,'BvsC_M5'!$E$4:$E$100)+SUMIF('BvsC_M6'!$B$4:$B$100,B7,'BvsC_M6'!$E$4:$E$100)</f>
        <v/>
      </c>
      <c r="G7" s="32">
        <f>SUMIF('AvsB_M1'!$B$4:$B$100,B7,'AvsB_M1'!$F$4:$F$100)+SUMIF('AvsB_M2'!$B$4:$B$100,B7,'AvsB_M2'!$F$4:$F$100)+SUMIF('AvsB_M3'!$B$4:$B$100,B7,'AvsB_M3'!$F$4:$F$100)+SUMIF('AvsB_M4'!$B$4:$B$100,B7,'AvsB_M4'!$F$4:$F$100)+SUMIF('AvsB_M5'!$B$4:$B$100,B7,'AvsB_M5'!$F$4:$F$100)+SUMIF('AvsB_M6'!$B$4:$B$100,B7,'AvsB_M6'!$F$4:$F$100)+SUMIF('CvsD_M1'!$B$4:$B$100,B7,'CvsD_M1'!$F$4:$F$100)+SUMIF('CvsD_M2'!$B$4:$B$100,B7,'CvsD_M2'!$F$4:$F$100)+SUMIF('CvsD_M3'!$B$4:$B$100,B7,'CvsD_M3'!$F$4:$F$100)+SUMIF('CvsD_M4'!$B$4:$B$100,B7,'CvsD_M4'!$F$4:$F$100)+SUMIF('CvsD_M5'!$B$4:$B$100,B7,'CvsD_M5'!$F$4:$F$100)+SUMIF('CvsD_M6'!$B$4:$B$100,B7,'CvsD_M6'!$F$4:$F$100)+SUMIF('AvsC_M1'!$B$4:$B$100,B7,'AvsC_M1'!$F$4:$F$100)+SUMIF('AvsC_M2'!$B$4:$B$100,B7,'AvsC_M2'!$F$4:$F$100)+SUMIF('AvsC_M3'!$B$4:$B$100,B7,'AvsC_M3'!$F$4:$F$100)+SUMIF('AvsC_M4'!$B$4:$B$100,B7,'AvsC_M4'!$F$4:$F$100)+SUMIF('AvsC_M5'!$B$4:$B$100,B7,'AvsC_M5'!$F$4:$F$100)+SUMIF('AvsC_M6'!$B$4:$B$100,B7,'AvsC_M6'!$F$4:$F$100)+SUMIF('BvsD_M1'!$B$4:$B$100,B7,'BvsD_M1'!$F$4:$F$100)+SUMIF('BvsD_M2'!$B$4:$B$100,B7,'BvsD_M2'!$F$4:$F$100)+SUMIF('BvsD_M3'!$B$4:$B$100,B7,'BvsD_M3'!$F$4:$F$100)+SUMIF('BvsD_M4'!$B$4:$B$100,B7,'BvsD_M4'!$F$4:$F$100)+SUMIF('BvsD_M5'!$B$4:$B$100,B7,'BvsD_M5'!$F$4:$F$100)+SUMIF('BvsD_M6'!$B$4:$B$100,B7,'BvsD_M6'!$F$4:$F$100)+SUMIF('AvsD_M1'!$B$4:$B$100,B7,'AvsD_M1'!$F$4:$F$100)+SUMIF('AvsD_M2'!$B$4:$B$100,B7,'AvsD_M2'!$F$4:$F$100)+SUMIF('AvsD_M3'!$B$4:$B$100,B7,'AvsD_M3'!$F$4:$F$100)+SUMIF('AvsD_M4'!$B$4:$B$100,B7,'AvsD_M4'!$F$4:$F$100)+SUMIF('AvsD_M5'!$B$4:$B$100,B7,'AvsD_M5'!$F$4:$F$100)+SUMIF('AvsD_M6'!$B$4:$B$100,B7,'AvsD_M6'!$F$4:$F$100)+SUMIF('BvsC_M1'!$B$4:$B$100,B7,'BvsC_M1'!$F$4:$F$100)+SUMIF('BvsC_M2'!$B$4:$B$100,B7,'BvsC_M2'!$F$4:$F$100)+SUMIF('BvsC_M3'!$B$4:$B$100,B7,'BvsC_M3'!$F$4:$F$100)+SUMIF('BvsC_M4'!$B$4:$B$100,B7,'BvsC_M4'!$F$4:$F$100)+SUMIF('BvsC_M5'!$B$4:$B$100,B7,'BvsC_M5'!$F$4:$F$100)+SUMIF('BvsC_M6'!$B$4:$B$100,B7,'BvsC_M6'!$F$4:$F$100)</f>
        <v/>
      </c>
      <c r="H7" s="32">
        <f>SUMIF('AvsB_M1'!$B$4:$B$100,B7,'AvsB_M1'!$G$4:$G$100)+SUMIF('AvsB_M2'!$B$4:$B$100,B7,'AvsB_M2'!$G$4:$G$100)+SUMIF('AvsB_M3'!$B$4:$B$100,B7,'AvsB_M3'!$G$4:$G$100)+SUMIF('AvsB_M4'!$B$4:$B$100,B7,'AvsB_M4'!$G$4:$G$100)+SUMIF('AvsB_M5'!$B$4:$B$100,B7,'AvsB_M5'!$G$4:$G$100)+SUMIF('AvsB_M6'!$B$4:$B$100,B7,'AvsB_M6'!$G$4:$G$100)+SUMIF('CvsD_M1'!$B$4:$B$100,B7,'CvsD_M1'!$G$4:$G$100)+SUMIF('CvsD_M2'!$B$4:$B$100,B7,'CvsD_M2'!$G$4:$G$100)+SUMIF('CvsD_M3'!$B$4:$B$100,B7,'CvsD_M3'!$G$4:$G$100)+SUMIF('CvsD_M4'!$B$4:$B$100,B7,'CvsD_M4'!$G$4:$G$100)+SUMIF('CvsD_M5'!$B$4:$B$100,B7,'CvsD_M5'!$G$4:$G$100)+SUMIF('CvsD_M6'!$B$4:$B$100,B7,'CvsD_M6'!$G$4:$G$100)+SUMIF('AvsC_M1'!$B$4:$B$100,B7,'AvsC_M1'!$G$4:$G$100)+SUMIF('AvsC_M2'!$B$4:$B$100,B7,'AvsC_M2'!$G$4:$G$100)+SUMIF('AvsC_M3'!$B$4:$B$100,B7,'AvsC_M3'!$G$4:$G$100)+SUMIF('AvsC_M4'!$B$4:$B$100,B7,'AvsC_M4'!$G$4:$G$100)+SUMIF('AvsC_M5'!$B$4:$B$100,B7,'AvsC_M5'!$G$4:$G$100)+SUMIF('AvsC_M6'!$B$4:$B$100,B7,'AvsC_M6'!$G$4:$G$100)+SUMIF('BvsD_M1'!$B$4:$B$100,B7,'BvsD_M1'!$G$4:$G$100)+SUMIF('BvsD_M2'!$B$4:$B$100,B7,'BvsD_M2'!$G$4:$G$100)+SUMIF('BvsD_M3'!$B$4:$B$100,B7,'BvsD_M3'!$G$4:$G$100)+SUMIF('BvsD_M4'!$B$4:$B$100,B7,'BvsD_M4'!$G$4:$G$100)+SUMIF('BvsD_M5'!$B$4:$B$100,B7,'BvsD_M5'!$G$4:$G$100)+SUMIF('BvsD_M6'!$B$4:$B$100,B7,'BvsD_M6'!$G$4:$G$100)+SUMIF('AvsD_M1'!$B$4:$B$100,B7,'AvsD_M1'!$G$4:$G$100)+SUMIF('AvsD_M2'!$B$4:$B$100,B7,'AvsD_M2'!$G$4:$G$100)+SUMIF('AvsD_M3'!$B$4:$B$100,B7,'AvsD_M3'!$G$4:$G$100)+SUMIF('AvsD_M4'!$B$4:$B$100,B7,'AvsD_M4'!$G$4:$G$100)+SUMIF('AvsD_M5'!$B$4:$B$100,B7,'AvsD_M5'!$G$4:$G$100)+SUMIF('AvsD_M6'!$B$4:$B$100,B7,'AvsD_M6'!$G$4:$G$100)+SUMIF('BvsC_M1'!$B$4:$B$100,B7,'BvsC_M1'!$G$4:$G$100)+SUMIF('BvsC_M2'!$B$4:$B$100,B7,'BvsC_M2'!$G$4:$G$100)+SUMIF('BvsC_M3'!$B$4:$B$100,B7,'BvsC_M3'!$G$4:$G$100)+SUMIF('BvsC_M4'!$B$4:$B$100,B7,'BvsC_M4'!$G$4:$G$100)+SUMIF('BvsC_M5'!$B$4:$B$100,B7,'BvsC_M5'!$G$4:$G$100)+SUMIF('BvsC_M6'!$B$4:$B$100,B7,'BvsC_M6'!$G$4:$G$100)</f>
        <v/>
      </c>
      <c r="I7" s="32">
        <f>SUMIF('AvsB_M1'!$B$4:$B$100,B7,'AvsB_M1'!$H$4:$H$100)+SUMIF('AvsB_M2'!$B$4:$B$100,B7,'AvsB_M2'!$H$4:$H$100)+SUMIF('AvsB_M3'!$B$4:$B$100,B7,'AvsB_M3'!$H$4:$H$100)+SUMIF('AvsB_M4'!$B$4:$B$100,B7,'AvsB_M4'!$H$4:$H$100)+SUMIF('AvsB_M5'!$B$4:$B$100,B7,'AvsB_M5'!$H$4:$H$100)+SUMIF('AvsB_M6'!$B$4:$B$100,B7,'AvsB_M6'!$H$4:$H$100)+SUMIF('CvsD_M1'!$B$4:$B$100,B7,'CvsD_M1'!$H$4:$H$100)+SUMIF('CvsD_M2'!$B$4:$B$100,B7,'CvsD_M2'!$H$4:$H$100)+SUMIF('CvsD_M3'!$B$4:$B$100,B7,'CvsD_M3'!$H$4:$H$100)+SUMIF('CvsD_M4'!$B$4:$B$100,B7,'CvsD_M4'!$H$4:$H$100)+SUMIF('CvsD_M5'!$B$4:$B$100,B7,'CvsD_M5'!$H$4:$H$100)+SUMIF('CvsD_M6'!$B$4:$B$100,B7,'CvsD_M6'!$H$4:$H$100)+SUMIF('AvsC_M1'!$B$4:$B$100,B7,'AvsC_M1'!$H$4:$H$100)+SUMIF('AvsC_M2'!$B$4:$B$100,B7,'AvsC_M2'!$H$4:$H$100)+SUMIF('AvsC_M3'!$B$4:$B$100,B7,'AvsC_M3'!$H$4:$H$100)+SUMIF('AvsC_M4'!$B$4:$B$100,B7,'AvsC_M4'!$H$4:$H$100)+SUMIF('AvsC_M5'!$B$4:$B$100,B7,'AvsC_M5'!$H$4:$H$100)+SUMIF('AvsC_M6'!$B$4:$B$100,B7,'AvsC_M6'!$H$4:$H$100)+SUMIF('BvsD_M1'!$B$4:$B$100,B7,'BvsD_M1'!$H$4:$H$100)+SUMIF('BvsD_M2'!$B$4:$B$100,B7,'BvsD_M2'!$H$4:$H$100)+SUMIF('BvsD_M3'!$B$4:$B$100,B7,'BvsD_M3'!$H$4:$H$100)+SUMIF('BvsD_M4'!$B$4:$B$100,B7,'BvsD_M4'!$H$4:$H$100)+SUMIF('BvsD_M5'!$B$4:$B$100,B7,'BvsD_M5'!$H$4:$H$100)+SUMIF('BvsD_M6'!$B$4:$B$100,B7,'BvsD_M6'!$H$4:$H$100)+SUMIF('AvsD_M1'!$B$4:$B$100,B7,'AvsD_M1'!$H$4:$H$100)+SUMIF('AvsD_M2'!$B$4:$B$100,B7,'AvsD_M2'!$H$4:$H$100)+SUMIF('AvsD_M3'!$B$4:$B$100,B7,'AvsD_M3'!$H$4:$H$100)+SUMIF('AvsD_M4'!$B$4:$B$100,B7,'AvsD_M4'!$H$4:$H$100)+SUMIF('AvsD_M5'!$B$4:$B$100,B7,'AvsD_M5'!$H$4:$H$100)+SUMIF('AvsD_M6'!$B$4:$B$100,B7,'AvsD_M6'!$H$4:$H$100)+SUMIF('BvsC_M1'!$B$4:$B$100,B7,'BvsC_M1'!$H$4:$H$100)+SUMIF('BvsC_M2'!$B$4:$B$100,B7,'BvsC_M2'!$H$4:$H$100)+SUMIF('BvsC_M3'!$B$4:$B$100,B7,'BvsC_M3'!$H$4:$H$100)+SUMIF('BvsC_M4'!$B$4:$B$100,B7,'BvsC_M4'!$H$4:$H$100)+SUMIF('BvsC_M5'!$B$4:$B$100,B7,'BvsC_M5'!$H$4:$H$100)+SUMIF('BvsC_M6'!$B$4:$B$100,B7,'BvsC_M6'!$H$4:$H$100)</f>
        <v/>
      </c>
      <c r="J7" s="32">
        <f>SUMIF('AvsB_M1'!$B$4:$B$100,B7,'AvsB_M1'!$I$4:$I$100)+SUMIF('AvsB_M2'!$B$4:$B$100,B7,'AvsB_M2'!$I$4:$I$100)+SUMIF('AvsB_M3'!$B$4:$B$100,B7,'AvsB_M3'!$I$4:$I$100)+SUMIF('AvsB_M4'!$B$4:$B$100,B7,'AvsB_M4'!$I$4:$I$100)+SUMIF('AvsB_M5'!$B$4:$B$100,B7,'AvsB_M5'!$I$4:$I$100)+SUMIF('AvsB_M6'!$B$4:$B$100,B7,'AvsB_M6'!$I$4:$I$100)+SUMIF('CvsD_M1'!$B$4:$B$100,B7,'CvsD_M1'!$I$4:$I$100)+SUMIF('CvsD_M2'!$B$4:$B$100,B7,'CvsD_M2'!$I$4:$I$100)+SUMIF('CvsD_M3'!$B$4:$B$100,B7,'CvsD_M3'!$I$4:$I$100)+SUMIF('CvsD_M4'!$B$4:$B$100,B7,'CvsD_M4'!$I$4:$I$100)+SUMIF('CvsD_M5'!$B$4:$B$100,B7,'CvsD_M5'!$I$4:$I$100)+SUMIF('CvsD_M6'!$B$4:$B$100,B7,'CvsD_M6'!$I$4:$I$100)+SUMIF('AvsC_M1'!$B$4:$B$100,B7,'AvsC_M1'!$I$4:$I$100)+SUMIF('AvsC_M2'!$B$4:$B$100,B7,'AvsC_M2'!$I$4:$I$100)+SUMIF('AvsC_M3'!$B$4:$B$100,B7,'AvsC_M3'!$I$4:$I$100)+SUMIF('AvsC_M4'!$B$4:$B$100,B7,'AvsC_M4'!$I$4:$I$100)+SUMIF('AvsC_M5'!$B$4:$B$100,B7,'AvsC_M5'!$I$4:$I$100)+SUMIF('AvsC_M6'!$B$4:$B$100,B7,'AvsC_M6'!$I$4:$I$100)+SUMIF('BvsD_M1'!$B$4:$B$100,B7,'BvsD_M1'!$I$4:$I$100)+SUMIF('BvsD_M2'!$B$4:$B$100,B7,'BvsD_M2'!$I$4:$I$100)+SUMIF('BvsD_M3'!$B$4:$B$100,B7,'BvsD_M3'!$I$4:$I$100)+SUMIF('BvsD_M4'!$B$4:$B$100,B7,'BvsD_M4'!$I$4:$I$100)+SUMIF('BvsD_M5'!$B$4:$B$100,B7,'BvsD_M5'!$I$4:$I$100)+SUMIF('BvsD_M6'!$B$4:$B$100,B7,'BvsD_M6'!$I$4:$I$100)+SUMIF('AvsD_M1'!$B$4:$B$100,B7,'AvsD_M1'!$I$4:$I$100)+SUMIF('AvsD_M2'!$B$4:$B$100,B7,'AvsD_M2'!$I$4:$I$100)+SUMIF('AvsD_M3'!$B$4:$B$100,B7,'AvsD_M3'!$I$4:$I$100)+SUMIF('AvsD_M4'!$B$4:$B$100,B7,'AvsD_M4'!$I$4:$I$100)+SUMIF('AvsD_M5'!$B$4:$B$100,B7,'AvsD_M5'!$I$4:$I$100)+SUMIF('AvsD_M6'!$B$4:$B$100,B7,'AvsD_M6'!$I$4:$I$100)+SUMIF('BvsC_M1'!$B$4:$B$100,B7,'BvsC_M1'!$I$4:$I$100)+SUMIF('BvsC_M2'!$B$4:$B$100,B7,'BvsC_M2'!$I$4:$I$100)+SUMIF('BvsC_M3'!$B$4:$B$100,B7,'BvsC_M3'!$I$4:$I$100)+SUMIF('BvsC_M4'!$B$4:$B$100,B7,'BvsC_M4'!$I$4:$I$100)+SUMIF('BvsC_M5'!$B$4:$B$100,B7,'BvsC_M5'!$I$4:$I$100)+SUMIF('BvsC_M6'!$B$4:$B$100,B7,'BvsC_M6'!$I$4:$I$100)</f>
        <v/>
      </c>
    </row>
    <row r="8">
      <c r="A8" s="32" t="n">
        <v>5</v>
      </c>
      <c r="B8" s="32" t="inlineStr">
        <is>
          <t>DEADSHOTS</t>
        </is>
      </c>
      <c r="C8" s="32">
        <f>COUNTIF('AvsB_M1'!$B$4:$B$100,B8)+COUNTIF('AvsB_M2'!$B$4:$B$100,B8)+COUNTIF('AvsB_M3'!$B$4:$B$100,B8)+COUNTIF('AvsB_M4'!$B$4:$B$100,B8)+COUNTIF('AvsB_M5'!$B$4:$B$100,B8)+COUNTIF('AvsB_M6'!$B$4:$B$100,B8)+COUNTIF('CvsD_M1'!$B$4:$B$100,B8)+COUNTIF('CvsD_M2'!$B$4:$B$100,B8)+COUNTIF('CvsD_M3'!$B$4:$B$100,B8)+COUNTIF('CvsD_M4'!$B$4:$B$100,B8)+COUNTIF('CvsD_M5'!$B$4:$B$100,B8)+COUNTIF('CvsD_M6'!$B$4:$B$100,B8)+COUNTIF('AvsC_M1'!$B$4:$B$100,B8)+COUNTIF('AvsC_M2'!$B$4:$B$100,B8)+COUNTIF('AvsC_M3'!$B$4:$B$100,B8)+COUNTIF('AvsC_M4'!$B$4:$B$100,B8)+COUNTIF('AvsC_M5'!$B$4:$B$100,B8)+COUNTIF('AvsC_M6'!$B$4:$B$100,B8)+COUNTIF('BvsD_M1'!$B$4:$B$100,B8)+COUNTIF('BvsD_M2'!$B$4:$B$100,B8)+COUNTIF('BvsD_M3'!$B$4:$B$100,B8)+COUNTIF('BvsD_M4'!$B$4:$B$100,B8)+COUNTIF('BvsD_M5'!$B$4:$B$100,B8)+COUNTIF('BvsD_M6'!$B$4:$B$100,B8)+COUNTIF('AvsD_M1'!$B$4:$B$100,B8)+COUNTIF('AvsD_M2'!$B$4:$B$100,B8)+COUNTIF('AvsD_M3'!$B$4:$B$100,B8)+COUNTIF('AvsD_M4'!$B$4:$B$100,B8)+COUNTIF('AvsD_M5'!$B$4:$B$100,B8)+COUNTIF('AvsD_M6'!$B$4:$B$100,B8)+COUNTIF('BvsC_M1'!$B$4:$B$100,B8)+COUNTIF('BvsC_M2'!$B$4:$B$100,B8)+COUNTIF('BvsC_M3'!$B$4:$B$100,B8)+COUNTIF('BvsC_M4'!$B$4:$B$100,B8)+COUNTIF('BvsC_M5'!$B$4:$B$100,B8)+COUNTIF('BvsC_M6'!$B$4:$B$100,B8)</f>
        <v/>
      </c>
      <c r="D8" s="32">
        <f>SUMIF('AvsB_M1'!$B$4:$B$100,B8,'AvsB_M1'!$C$4:$C$100)+SUMIF('AvsB_M2'!$B$4:$B$100,B8,'AvsB_M2'!$C$4:$C$100)+SUMIF('AvsB_M3'!$B$4:$B$100,B8,'AvsB_M3'!$C$4:$C$100)+SUMIF('AvsB_M4'!$B$4:$B$100,B8,'AvsB_M4'!$C$4:$C$100)+SUMIF('AvsB_M5'!$B$4:$B$100,B8,'AvsB_M5'!$C$4:$C$100)+SUMIF('AvsB_M6'!$B$4:$B$100,B8,'AvsB_M6'!$C$4:$C$100)+SUMIF('CvsD_M1'!$B$4:$B$100,B8,'CvsD_M1'!$C$4:$C$100)+SUMIF('CvsD_M2'!$B$4:$B$100,B8,'CvsD_M2'!$C$4:$C$100)+SUMIF('CvsD_M3'!$B$4:$B$100,B8,'CvsD_M3'!$C$4:$C$100)+SUMIF('CvsD_M4'!$B$4:$B$100,B8,'CvsD_M4'!$C$4:$C$100)+SUMIF('CvsD_M5'!$B$4:$B$100,B8,'CvsD_M5'!$C$4:$C$100)+SUMIF('CvsD_M6'!$B$4:$B$100,B8,'CvsD_M6'!$C$4:$C$100)+SUMIF('AvsC_M1'!$B$4:$B$100,B8,'AvsC_M1'!$C$4:$C$100)+SUMIF('AvsC_M2'!$B$4:$B$100,B8,'AvsC_M2'!$C$4:$C$100)+SUMIF('AvsC_M3'!$B$4:$B$100,B8,'AvsC_M3'!$C$4:$C$100)+SUMIF('AvsC_M4'!$B$4:$B$100,B8,'AvsC_M4'!$C$4:$C$100)+SUMIF('AvsC_M5'!$B$4:$B$100,B8,'AvsC_M5'!$C$4:$C$100)+SUMIF('AvsC_M6'!$B$4:$B$100,B8,'AvsC_M6'!$C$4:$C$100)+SUMIF('BvsD_M1'!$B$4:$B$100,B8,'BvsD_M1'!$C$4:$C$100)+SUMIF('BvsD_M2'!$B$4:$B$100,B8,'BvsD_M2'!$C$4:$C$100)+SUMIF('BvsD_M3'!$B$4:$B$100,B8,'BvsD_M3'!$C$4:$C$100)+SUMIF('BvsD_M4'!$B$4:$B$100,B8,'BvsD_M4'!$C$4:$C$100)+SUMIF('BvsD_M5'!$B$4:$B$100,B8,'BvsD_M5'!$C$4:$C$100)+SUMIF('BvsD_M6'!$B$4:$B$100,B8,'BvsD_M6'!$C$4:$C$100)+SUMIF('AvsD_M1'!$B$4:$B$100,B8,'AvsD_M1'!$C$4:$C$100)+SUMIF('AvsD_M2'!$B$4:$B$100,B8,'AvsD_M2'!$C$4:$C$100)+SUMIF('AvsD_M3'!$B$4:$B$100,B8,'AvsD_M3'!$C$4:$C$100)+SUMIF('AvsD_M4'!$B$4:$B$100,B8,'AvsD_M4'!$C$4:$C$100)+SUMIF('AvsD_M5'!$B$4:$B$100,B8,'AvsD_M5'!$C$4:$C$100)+SUMIF('AvsD_M6'!$B$4:$B$100,B8,'AvsD_M6'!$C$4:$C$100)+SUMIF('BvsC_M1'!$B$4:$B$100,B8,'BvsC_M1'!$C$4:$C$100)+SUMIF('BvsC_M2'!$B$4:$B$100,B8,'BvsC_M2'!$C$4:$C$100)+SUMIF('BvsC_M3'!$B$4:$B$100,B8,'BvsC_M3'!$C$4:$C$100)+SUMIF('BvsC_M4'!$B$4:$B$100,B8,'BvsC_M4'!$C$4:$C$100)+SUMIF('BvsC_M5'!$B$4:$B$100,B8,'BvsC_M5'!$C$4:$C$100)+SUMIF('BvsC_M6'!$B$4:$B$100,B8,'BvsC_M6'!$C$4:$C$100)</f>
        <v/>
      </c>
      <c r="E8" s="32">
        <f>SUMIF('AvsB_M1'!$B$4:$B$100,B8,'AvsB_M1'!$D$4:$D$100)+SUMIF('AvsB_M2'!$B$4:$B$100,B8,'AvsB_M2'!$D$4:$D$100)+SUMIF('AvsB_M3'!$B$4:$B$100,B8,'AvsB_M3'!$D$4:$D$100)+SUMIF('AvsB_M4'!$B$4:$B$100,B8,'AvsB_M4'!$D$4:$D$100)+SUMIF('AvsB_M5'!$B$4:$B$100,B8,'AvsB_M5'!$D$4:$D$100)+SUMIF('AvsB_M6'!$B$4:$B$100,B8,'AvsB_M6'!$D$4:$D$100)+SUMIF('CvsD_M1'!$B$4:$B$100,B8,'CvsD_M1'!$D$4:$D$100)+SUMIF('CvsD_M2'!$B$4:$B$100,B8,'CvsD_M2'!$D$4:$D$100)+SUMIF('CvsD_M3'!$B$4:$B$100,B8,'CvsD_M3'!$D$4:$D$100)+SUMIF('CvsD_M4'!$B$4:$B$100,B8,'CvsD_M4'!$D$4:$D$100)+SUMIF('CvsD_M5'!$B$4:$B$100,B8,'CvsD_M5'!$D$4:$D$100)+SUMIF('CvsD_M6'!$B$4:$B$100,B8,'CvsD_M6'!$D$4:$D$100)+SUMIF('AvsC_M1'!$B$4:$B$100,B8,'AvsC_M1'!$D$4:$D$100)+SUMIF('AvsC_M2'!$B$4:$B$100,B8,'AvsC_M2'!$D$4:$D$100)+SUMIF('AvsC_M3'!$B$4:$B$100,B8,'AvsC_M3'!$D$4:$D$100)+SUMIF('AvsC_M4'!$B$4:$B$100,B8,'AvsC_M4'!$D$4:$D$100)+SUMIF('AvsC_M5'!$B$4:$B$100,B8,'AvsC_M5'!$D$4:$D$100)+SUMIF('AvsC_M6'!$B$4:$B$100,B8,'AvsC_M6'!$D$4:$D$100)+SUMIF('BvsD_M1'!$B$4:$B$100,B8,'BvsD_M1'!$D$4:$D$100)+SUMIF('BvsD_M2'!$B$4:$B$100,B8,'BvsD_M2'!$D$4:$D$100)+SUMIF('BvsD_M3'!$B$4:$B$100,B8,'BvsD_M3'!$D$4:$D$100)+SUMIF('BvsD_M4'!$B$4:$B$100,B8,'BvsD_M4'!$D$4:$D$100)+SUMIF('BvsD_M5'!$B$4:$B$100,B8,'BvsD_M5'!$D$4:$D$100)+SUMIF('BvsD_M6'!$B$4:$B$100,B8,'BvsD_M6'!$D$4:$D$100)+SUMIF('AvsD_M1'!$B$4:$B$100,B8,'AvsD_M1'!$D$4:$D$100)+SUMIF('AvsD_M2'!$B$4:$B$100,B8,'AvsD_M2'!$D$4:$D$100)+SUMIF('AvsD_M3'!$B$4:$B$100,B8,'AvsD_M3'!$D$4:$D$100)+SUMIF('AvsD_M4'!$B$4:$B$100,B8,'AvsD_M4'!$D$4:$D$100)+SUMIF('AvsD_M5'!$B$4:$B$100,B8,'AvsD_M5'!$D$4:$D$100)+SUMIF('AvsD_M6'!$B$4:$B$100,B8,'AvsD_M6'!$D$4:$D$100)+SUMIF('BvsC_M1'!$B$4:$B$100,B8,'BvsC_M1'!$D$4:$D$100)+SUMIF('BvsC_M2'!$B$4:$B$100,B8,'BvsC_M2'!$D$4:$D$100)+SUMIF('BvsC_M3'!$B$4:$B$100,B8,'BvsC_M3'!$D$4:$D$100)+SUMIF('BvsC_M4'!$B$4:$B$100,B8,'BvsC_M4'!$D$4:$D$100)+SUMIF('BvsC_M5'!$B$4:$B$100,B8,'BvsC_M5'!$D$4:$D$100)+SUMIF('BvsC_M6'!$B$4:$B$100,B8,'BvsC_M6'!$D$4:$D$100)</f>
        <v/>
      </c>
      <c r="F8" s="32">
        <f>SUMIF('AvsB_M1'!$B$4:$B$100,B8,'AvsB_M1'!$E$4:$E$100)+SUMIF('AvsB_M2'!$B$4:$B$100,B8,'AvsB_M2'!$E$4:$E$100)+SUMIF('AvsB_M3'!$B$4:$B$100,B8,'AvsB_M3'!$E$4:$E$100)+SUMIF('AvsB_M4'!$B$4:$B$100,B8,'AvsB_M4'!$E$4:$E$100)+SUMIF('AvsB_M5'!$B$4:$B$100,B8,'AvsB_M5'!$E$4:$E$100)+SUMIF('AvsB_M6'!$B$4:$B$100,B8,'AvsB_M6'!$E$4:$E$100)+SUMIF('CvsD_M1'!$B$4:$B$100,B8,'CvsD_M1'!$E$4:$E$100)+SUMIF('CvsD_M2'!$B$4:$B$100,B8,'CvsD_M2'!$E$4:$E$100)+SUMIF('CvsD_M3'!$B$4:$B$100,B8,'CvsD_M3'!$E$4:$E$100)+SUMIF('CvsD_M4'!$B$4:$B$100,B8,'CvsD_M4'!$E$4:$E$100)+SUMIF('CvsD_M5'!$B$4:$B$100,B8,'CvsD_M5'!$E$4:$E$100)+SUMIF('CvsD_M6'!$B$4:$B$100,B8,'CvsD_M6'!$E$4:$E$100)+SUMIF('AvsC_M1'!$B$4:$B$100,B8,'AvsC_M1'!$E$4:$E$100)+SUMIF('AvsC_M2'!$B$4:$B$100,B8,'AvsC_M2'!$E$4:$E$100)+SUMIF('AvsC_M3'!$B$4:$B$100,B8,'AvsC_M3'!$E$4:$E$100)+SUMIF('AvsC_M4'!$B$4:$B$100,B8,'AvsC_M4'!$E$4:$E$100)+SUMIF('AvsC_M5'!$B$4:$B$100,B8,'AvsC_M5'!$E$4:$E$100)+SUMIF('AvsC_M6'!$B$4:$B$100,B8,'AvsC_M6'!$E$4:$E$100)+SUMIF('BvsD_M1'!$B$4:$B$100,B8,'BvsD_M1'!$E$4:$E$100)+SUMIF('BvsD_M2'!$B$4:$B$100,B8,'BvsD_M2'!$E$4:$E$100)+SUMIF('BvsD_M3'!$B$4:$B$100,B8,'BvsD_M3'!$E$4:$E$100)+SUMIF('BvsD_M4'!$B$4:$B$100,B8,'BvsD_M4'!$E$4:$E$100)+SUMIF('BvsD_M5'!$B$4:$B$100,B8,'BvsD_M5'!$E$4:$E$100)+SUMIF('BvsD_M6'!$B$4:$B$100,B8,'BvsD_M6'!$E$4:$E$100)+SUMIF('AvsD_M1'!$B$4:$B$100,B8,'AvsD_M1'!$E$4:$E$100)+SUMIF('AvsD_M2'!$B$4:$B$100,B8,'AvsD_M2'!$E$4:$E$100)+SUMIF('AvsD_M3'!$B$4:$B$100,B8,'AvsD_M3'!$E$4:$E$100)+SUMIF('AvsD_M4'!$B$4:$B$100,B8,'AvsD_M4'!$E$4:$E$100)+SUMIF('AvsD_M5'!$B$4:$B$100,B8,'AvsD_M5'!$E$4:$E$100)+SUMIF('AvsD_M6'!$B$4:$B$100,B8,'AvsD_M6'!$E$4:$E$100)+SUMIF('BvsC_M1'!$B$4:$B$100,B8,'BvsC_M1'!$E$4:$E$100)+SUMIF('BvsC_M2'!$B$4:$B$100,B8,'BvsC_M2'!$E$4:$E$100)+SUMIF('BvsC_M3'!$B$4:$B$100,B8,'BvsC_M3'!$E$4:$E$100)+SUMIF('BvsC_M4'!$B$4:$B$100,B8,'BvsC_M4'!$E$4:$E$100)+SUMIF('BvsC_M5'!$B$4:$B$100,B8,'BvsC_M5'!$E$4:$E$100)+SUMIF('BvsC_M6'!$B$4:$B$100,B8,'BvsC_M6'!$E$4:$E$100)</f>
        <v/>
      </c>
      <c r="G8" s="32">
        <f>SUMIF('AvsB_M1'!$B$4:$B$100,B8,'AvsB_M1'!$F$4:$F$100)+SUMIF('AvsB_M2'!$B$4:$B$100,B8,'AvsB_M2'!$F$4:$F$100)+SUMIF('AvsB_M3'!$B$4:$B$100,B8,'AvsB_M3'!$F$4:$F$100)+SUMIF('AvsB_M4'!$B$4:$B$100,B8,'AvsB_M4'!$F$4:$F$100)+SUMIF('AvsB_M5'!$B$4:$B$100,B8,'AvsB_M5'!$F$4:$F$100)+SUMIF('AvsB_M6'!$B$4:$B$100,B8,'AvsB_M6'!$F$4:$F$100)+SUMIF('CvsD_M1'!$B$4:$B$100,B8,'CvsD_M1'!$F$4:$F$100)+SUMIF('CvsD_M2'!$B$4:$B$100,B8,'CvsD_M2'!$F$4:$F$100)+SUMIF('CvsD_M3'!$B$4:$B$100,B8,'CvsD_M3'!$F$4:$F$100)+SUMIF('CvsD_M4'!$B$4:$B$100,B8,'CvsD_M4'!$F$4:$F$100)+SUMIF('CvsD_M5'!$B$4:$B$100,B8,'CvsD_M5'!$F$4:$F$100)+SUMIF('CvsD_M6'!$B$4:$B$100,B8,'CvsD_M6'!$F$4:$F$100)+SUMIF('AvsC_M1'!$B$4:$B$100,B8,'AvsC_M1'!$F$4:$F$100)+SUMIF('AvsC_M2'!$B$4:$B$100,B8,'AvsC_M2'!$F$4:$F$100)+SUMIF('AvsC_M3'!$B$4:$B$100,B8,'AvsC_M3'!$F$4:$F$100)+SUMIF('AvsC_M4'!$B$4:$B$100,B8,'AvsC_M4'!$F$4:$F$100)+SUMIF('AvsC_M5'!$B$4:$B$100,B8,'AvsC_M5'!$F$4:$F$100)+SUMIF('AvsC_M6'!$B$4:$B$100,B8,'AvsC_M6'!$F$4:$F$100)+SUMIF('BvsD_M1'!$B$4:$B$100,B8,'BvsD_M1'!$F$4:$F$100)+SUMIF('BvsD_M2'!$B$4:$B$100,B8,'BvsD_M2'!$F$4:$F$100)+SUMIF('BvsD_M3'!$B$4:$B$100,B8,'BvsD_M3'!$F$4:$F$100)+SUMIF('BvsD_M4'!$B$4:$B$100,B8,'BvsD_M4'!$F$4:$F$100)+SUMIF('BvsD_M5'!$B$4:$B$100,B8,'BvsD_M5'!$F$4:$F$100)+SUMIF('BvsD_M6'!$B$4:$B$100,B8,'BvsD_M6'!$F$4:$F$100)+SUMIF('AvsD_M1'!$B$4:$B$100,B8,'AvsD_M1'!$F$4:$F$100)+SUMIF('AvsD_M2'!$B$4:$B$100,B8,'AvsD_M2'!$F$4:$F$100)+SUMIF('AvsD_M3'!$B$4:$B$100,B8,'AvsD_M3'!$F$4:$F$100)+SUMIF('AvsD_M4'!$B$4:$B$100,B8,'AvsD_M4'!$F$4:$F$100)+SUMIF('AvsD_M5'!$B$4:$B$100,B8,'AvsD_M5'!$F$4:$F$100)+SUMIF('AvsD_M6'!$B$4:$B$100,B8,'AvsD_M6'!$F$4:$F$100)+SUMIF('BvsC_M1'!$B$4:$B$100,B8,'BvsC_M1'!$F$4:$F$100)+SUMIF('BvsC_M2'!$B$4:$B$100,B8,'BvsC_M2'!$F$4:$F$100)+SUMIF('BvsC_M3'!$B$4:$B$100,B8,'BvsC_M3'!$F$4:$F$100)+SUMIF('BvsC_M4'!$B$4:$B$100,B8,'BvsC_M4'!$F$4:$F$100)+SUMIF('BvsC_M5'!$B$4:$B$100,B8,'BvsC_M5'!$F$4:$F$100)+SUMIF('BvsC_M6'!$B$4:$B$100,B8,'BvsC_M6'!$F$4:$F$100)</f>
        <v/>
      </c>
      <c r="H8" s="32">
        <f>SUMIF('AvsB_M1'!$B$4:$B$100,B8,'AvsB_M1'!$G$4:$G$100)+SUMIF('AvsB_M2'!$B$4:$B$100,B8,'AvsB_M2'!$G$4:$G$100)+SUMIF('AvsB_M3'!$B$4:$B$100,B8,'AvsB_M3'!$G$4:$G$100)+SUMIF('AvsB_M4'!$B$4:$B$100,B8,'AvsB_M4'!$G$4:$G$100)+SUMIF('AvsB_M5'!$B$4:$B$100,B8,'AvsB_M5'!$G$4:$G$100)+SUMIF('AvsB_M6'!$B$4:$B$100,B8,'AvsB_M6'!$G$4:$G$100)+SUMIF('CvsD_M1'!$B$4:$B$100,B8,'CvsD_M1'!$G$4:$G$100)+SUMIF('CvsD_M2'!$B$4:$B$100,B8,'CvsD_M2'!$G$4:$G$100)+SUMIF('CvsD_M3'!$B$4:$B$100,B8,'CvsD_M3'!$G$4:$G$100)+SUMIF('CvsD_M4'!$B$4:$B$100,B8,'CvsD_M4'!$G$4:$G$100)+SUMIF('CvsD_M5'!$B$4:$B$100,B8,'CvsD_M5'!$G$4:$G$100)+SUMIF('CvsD_M6'!$B$4:$B$100,B8,'CvsD_M6'!$G$4:$G$100)+SUMIF('AvsC_M1'!$B$4:$B$100,B8,'AvsC_M1'!$G$4:$G$100)+SUMIF('AvsC_M2'!$B$4:$B$100,B8,'AvsC_M2'!$G$4:$G$100)+SUMIF('AvsC_M3'!$B$4:$B$100,B8,'AvsC_M3'!$G$4:$G$100)+SUMIF('AvsC_M4'!$B$4:$B$100,B8,'AvsC_M4'!$G$4:$G$100)+SUMIF('AvsC_M5'!$B$4:$B$100,B8,'AvsC_M5'!$G$4:$G$100)+SUMIF('AvsC_M6'!$B$4:$B$100,B8,'AvsC_M6'!$G$4:$G$100)+SUMIF('BvsD_M1'!$B$4:$B$100,B8,'BvsD_M1'!$G$4:$G$100)+SUMIF('BvsD_M2'!$B$4:$B$100,B8,'BvsD_M2'!$G$4:$G$100)+SUMIF('BvsD_M3'!$B$4:$B$100,B8,'BvsD_M3'!$G$4:$G$100)+SUMIF('BvsD_M4'!$B$4:$B$100,B8,'BvsD_M4'!$G$4:$G$100)+SUMIF('BvsD_M5'!$B$4:$B$100,B8,'BvsD_M5'!$G$4:$G$100)+SUMIF('BvsD_M6'!$B$4:$B$100,B8,'BvsD_M6'!$G$4:$G$100)+SUMIF('AvsD_M1'!$B$4:$B$100,B8,'AvsD_M1'!$G$4:$G$100)+SUMIF('AvsD_M2'!$B$4:$B$100,B8,'AvsD_M2'!$G$4:$G$100)+SUMIF('AvsD_M3'!$B$4:$B$100,B8,'AvsD_M3'!$G$4:$G$100)+SUMIF('AvsD_M4'!$B$4:$B$100,B8,'AvsD_M4'!$G$4:$G$100)+SUMIF('AvsD_M5'!$B$4:$B$100,B8,'AvsD_M5'!$G$4:$G$100)+SUMIF('AvsD_M6'!$B$4:$B$100,B8,'AvsD_M6'!$G$4:$G$100)+SUMIF('BvsC_M1'!$B$4:$B$100,B8,'BvsC_M1'!$G$4:$G$100)+SUMIF('BvsC_M2'!$B$4:$B$100,B8,'BvsC_M2'!$G$4:$G$100)+SUMIF('BvsC_M3'!$B$4:$B$100,B8,'BvsC_M3'!$G$4:$G$100)+SUMIF('BvsC_M4'!$B$4:$B$100,B8,'BvsC_M4'!$G$4:$G$100)+SUMIF('BvsC_M5'!$B$4:$B$100,B8,'BvsC_M5'!$G$4:$G$100)+SUMIF('BvsC_M6'!$B$4:$B$100,B8,'BvsC_M6'!$G$4:$G$100)</f>
        <v/>
      </c>
      <c r="I8" s="32">
        <f>SUMIF('AvsB_M1'!$B$4:$B$100,B8,'AvsB_M1'!$H$4:$H$100)+SUMIF('AvsB_M2'!$B$4:$B$100,B8,'AvsB_M2'!$H$4:$H$100)+SUMIF('AvsB_M3'!$B$4:$B$100,B8,'AvsB_M3'!$H$4:$H$100)+SUMIF('AvsB_M4'!$B$4:$B$100,B8,'AvsB_M4'!$H$4:$H$100)+SUMIF('AvsB_M5'!$B$4:$B$100,B8,'AvsB_M5'!$H$4:$H$100)+SUMIF('AvsB_M6'!$B$4:$B$100,B8,'AvsB_M6'!$H$4:$H$100)+SUMIF('CvsD_M1'!$B$4:$B$100,B8,'CvsD_M1'!$H$4:$H$100)+SUMIF('CvsD_M2'!$B$4:$B$100,B8,'CvsD_M2'!$H$4:$H$100)+SUMIF('CvsD_M3'!$B$4:$B$100,B8,'CvsD_M3'!$H$4:$H$100)+SUMIF('CvsD_M4'!$B$4:$B$100,B8,'CvsD_M4'!$H$4:$H$100)+SUMIF('CvsD_M5'!$B$4:$B$100,B8,'CvsD_M5'!$H$4:$H$100)+SUMIF('CvsD_M6'!$B$4:$B$100,B8,'CvsD_M6'!$H$4:$H$100)+SUMIF('AvsC_M1'!$B$4:$B$100,B8,'AvsC_M1'!$H$4:$H$100)+SUMIF('AvsC_M2'!$B$4:$B$100,B8,'AvsC_M2'!$H$4:$H$100)+SUMIF('AvsC_M3'!$B$4:$B$100,B8,'AvsC_M3'!$H$4:$H$100)+SUMIF('AvsC_M4'!$B$4:$B$100,B8,'AvsC_M4'!$H$4:$H$100)+SUMIF('AvsC_M5'!$B$4:$B$100,B8,'AvsC_M5'!$H$4:$H$100)+SUMIF('AvsC_M6'!$B$4:$B$100,B8,'AvsC_M6'!$H$4:$H$100)+SUMIF('BvsD_M1'!$B$4:$B$100,B8,'BvsD_M1'!$H$4:$H$100)+SUMIF('BvsD_M2'!$B$4:$B$100,B8,'BvsD_M2'!$H$4:$H$100)+SUMIF('BvsD_M3'!$B$4:$B$100,B8,'BvsD_M3'!$H$4:$H$100)+SUMIF('BvsD_M4'!$B$4:$B$100,B8,'BvsD_M4'!$H$4:$H$100)+SUMIF('BvsD_M5'!$B$4:$B$100,B8,'BvsD_M5'!$H$4:$H$100)+SUMIF('BvsD_M6'!$B$4:$B$100,B8,'BvsD_M6'!$H$4:$H$100)+SUMIF('AvsD_M1'!$B$4:$B$100,B8,'AvsD_M1'!$H$4:$H$100)+SUMIF('AvsD_M2'!$B$4:$B$100,B8,'AvsD_M2'!$H$4:$H$100)+SUMIF('AvsD_M3'!$B$4:$B$100,B8,'AvsD_M3'!$H$4:$H$100)+SUMIF('AvsD_M4'!$B$4:$B$100,B8,'AvsD_M4'!$H$4:$H$100)+SUMIF('AvsD_M5'!$B$4:$B$100,B8,'AvsD_M5'!$H$4:$H$100)+SUMIF('AvsD_M6'!$B$4:$B$100,B8,'AvsD_M6'!$H$4:$H$100)+SUMIF('BvsC_M1'!$B$4:$B$100,B8,'BvsC_M1'!$H$4:$H$100)+SUMIF('BvsC_M2'!$B$4:$B$100,B8,'BvsC_M2'!$H$4:$H$100)+SUMIF('BvsC_M3'!$B$4:$B$100,B8,'BvsC_M3'!$H$4:$H$100)+SUMIF('BvsC_M4'!$B$4:$B$100,B8,'BvsC_M4'!$H$4:$H$100)+SUMIF('BvsC_M5'!$B$4:$B$100,B8,'BvsC_M5'!$H$4:$H$100)+SUMIF('BvsC_M6'!$B$4:$B$100,B8,'BvsC_M6'!$H$4:$H$100)</f>
        <v/>
      </c>
      <c r="J8" s="32">
        <f>SUMIF('AvsB_M1'!$B$4:$B$100,B8,'AvsB_M1'!$I$4:$I$100)+SUMIF('AvsB_M2'!$B$4:$B$100,B8,'AvsB_M2'!$I$4:$I$100)+SUMIF('AvsB_M3'!$B$4:$B$100,B8,'AvsB_M3'!$I$4:$I$100)+SUMIF('AvsB_M4'!$B$4:$B$100,B8,'AvsB_M4'!$I$4:$I$100)+SUMIF('AvsB_M5'!$B$4:$B$100,B8,'AvsB_M5'!$I$4:$I$100)+SUMIF('AvsB_M6'!$B$4:$B$100,B8,'AvsB_M6'!$I$4:$I$100)+SUMIF('CvsD_M1'!$B$4:$B$100,B8,'CvsD_M1'!$I$4:$I$100)+SUMIF('CvsD_M2'!$B$4:$B$100,B8,'CvsD_M2'!$I$4:$I$100)+SUMIF('CvsD_M3'!$B$4:$B$100,B8,'CvsD_M3'!$I$4:$I$100)+SUMIF('CvsD_M4'!$B$4:$B$100,B8,'CvsD_M4'!$I$4:$I$100)+SUMIF('CvsD_M5'!$B$4:$B$100,B8,'CvsD_M5'!$I$4:$I$100)+SUMIF('CvsD_M6'!$B$4:$B$100,B8,'CvsD_M6'!$I$4:$I$100)+SUMIF('AvsC_M1'!$B$4:$B$100,B8,'AvsC_M1'!$I$4:$I$100)+SUMIF('AvsC_M2'!$B$4:$B$100,B8,'AvsC_M2'!$I$4:$I$100)+SUMIF('AvsC_M3'!$B$4:$B$100,B8,'AvsC_M3'!$I$4:$I$100)+SUMIF('AvsC_M4'!$B$4:$B$100,B8,'AvsC_M4'!$I$4:$I$100)+SUMIF('AvsC_M5'!$B$4:$B$100,B8,'AvsC_M5'!$I$4:$I$100)+SUMIF('AvsC_M6'!$B$4:$B$100,B8,'AvsC_M6'!$I$4:$I$100)+SUMIF('BvsD_M1'!$B$4:$B$100,B8,'BvsD_M1'!$I$4:$I$100)+SUMIF('BvsD_M2'!$B$4:$B$100,B8,'BvsD_M2'!$I$4:$I$100)+SUMIF('BvsD_M3'!$B$4:$B$100,B8,'BvsD_M3'!$I$4:$I$100)+SUMIF('BvsD_M4'!$B$4:$B$100,B8,'BvsD_M4'!$I$4:$I$100)+SUMIF('BvsD_M5'!$B$4:$B$100,B8,'BvsD_M5'!$I$4:$I$100)+SUMIF('BvsD_M6'!$B$4:$B$100,B8,'BvsD_M6'!$I$4:$I$100)+SUMIF('AvsD_M1'!$B$4:$B$100,B8,'AvsD_M1'!$I$4:$I$100)+SUMIF('AvsD_M2'!$B$4:$B$100,B8,'AvsD_M2'!$I$4:$I$100)+SUMIF('AvsD_M3'!$B$4:$B$100,B8,'AvsD_M3'!$I$4:$I$100)+SUMIF('AvsD_M4'!$B$4:$B$100,B8,'AvsD_M4'!$I$4:$I$100)+SUMIF('AvsD_M5'!$B$4:$B$100,B8,'AvsD_M5'!$I$4:$I$100)+SUMIF('AvsD_M6'!$B$4:$B$100,B8,'AvsD_M6'!$I$4:$I$100)+SUMIF('BvsC_M1'!$B$4:$B$100,B8,'BvsC_M1'!$I$4:$I$100)+SUMIF('BvsC_M2'!$B$4:$B$100,B8,'BvsC_M2'!$I$4:$I$100)+SUMIF('BvsC_M3'!$B$4:$B$100,B8,'BvsC_M3'!$I$4:$I$100)+SUMIF('BvsC_M4'!$B$4:$B$100,B8,'BvsC_M4'!$I$4:$I$100)+SUMIF('BvsC_M5'!$B$4:$B$100,B8,'BvsC_M5'!$I$4:$I$100)+SUMIF('BvsC_M6'!$B$4:$B$100,B8,'BvsC_M6'!$I$4:$I$100)</f>
        <v/>
      </c>
    </row>
    <row r="9">
      <c r="A9" s="32" t="n">
        <v>6</v>
      </c>
      <c r="B9" s="32" t="inlineStr">
        <is>
          <t>Indus Prime</t>
        </is>
      </c>
      <c r="C9" s="32">
        <f>COUNTIF('AvsB_M1'!$B$4:$B$100,B9)+COUNTIF('AvsB_M2'!$B$4:$B$100,B9)+COUNTIF('AvsB_M3'!$B$4:$B$100,B9)+COUNTIF('AvsB_M4'!$B$4:$B$100,B9)+COUNTIF('AvsB_M5'!$B$4:$B$100,B9)+COUNTIF('AvsB_M6'!$B$4:$B$100,B9)+COUNTIF('CvsD_M1'!$B$4:$B$100,B9)+COUNTIF('CvsD_M2'!$B$4:$B$100,B9)+COUNTIF('CvsD_M3'!$B$4:$B$100,B9)+COUNTIF('CvsD_M4'!$B$4:$B$100,B9)+COUNTIF('CvsD_M5'!$B$4:$B$100,B9)+COUNTIF('CvsD_M6'!$B$4:$B$100,B9)+COUNTIF('AvsC_M1'!$B$4:$B$100,B9)+COUNTIF('AvsC_M2'!$B$4:$B$100,B9)+COUNTIF('AvsC_M3'!$B$4:$B$100,B9)+COUNTIF('AvsC_M4'!$B$4:$B$100,B9)+COUNTIF('AvsC_M5'!$B$4:$B$100,B9)+COUNTIF('AvsC_M6'!$B$4:$B$100,B9)+COUNTIF('BvsD_M1'!$B$4:$B$100,B9)+COUNTIF('BvsD_M2'!$B$4:$B$100,B9)+COUNTIF('BvsD_M3'!$B$4:$B$100,B9)+COUNTIF('BvsD_M4'!$B$4:$B$100,B9)+COUNTIF('BvsD_M5'!$B$4:$B$100,B9)+COUNTIF('BvsD_M6'!$B$4:$B$100,B9)+COUNTIF('AvsD_M1'!$B$4:$B$100,B9)+COUNTIF('AvsD_M2'!$B$4:$B$100,B9)+COUNTIF('AvsD_M3'!$B$4:$B$100,B9)+COUNTIF('AvsD_M4'!$B$4:$B$100,B9)+COUNTIF('AvsD_M5'!$B$4:$B$100,B9)+COUNTIF('AvsD_M6'!$B$4:$B$100,B9)+COUNTIF('BvsC_M1'!$B$4:$B$100,B9)+COUNTIF('BvsC_M2'!$B$4:$B$100,B9)+COUNTIF('BvsC_M3'!$B$4:$B$100,B9)+COUNTIF('BvsC_M4'!$B$4:$B$100,B9)+COUNTIF('BvsC_M5'!$B$4:$B$100,B9)+COUNTIF('BvsC_M6'!$B$4:$B$100,B9)</f>
        <v/>
      </c>
      <c r="D9" s="32">
        <f>SUMIF('AvsB_M1'!$B$4:$B$100,B9,'AvsB_M1'!$C$4:$C$100)+SUMIF('AvsB_M2'!$B$4:$B$100,B9,'AvsB_M2'!$C$4:$C$100)+SUMIF('AvsB_M3'!$B$4:$B$100,B9,'AvsB_M3'!$C$4:$C$100)+SUMIF('AvsB_M4'!$B$4:$B$100,B9,'AvsB_M4'!$C$4:$C$100)+SUMIF('AvsB_M5'!$B$4:$B$100,B9,'AvsB_M5'!$C$4:$C$100)+SUMIF('AvsB_M6'!$B$4:$B$100,B9,'AvsB_M6'!$C$4:$C$100)+SUMIF('CvsD_M1'!$B$4:$B$100,B9,'CvsD_M1'!$C$4:$C$100)+SUMIF('CvsD_M2'!$B$4:$B$100,B9,'CvsD_M2'!$C$4:$C$100)+SUMIF('CvsD_M3'!$B$4:$B$100,B9,'CvsD_M3'!$C$4:$C$100)+SUMIF('CvsD_M4'!$B$4:$B$100,B9,'CvsD_M4'!$C$4:$C$100)+SUMIF('CvsD_M5'!$B$4:$B$100,B9,'CvsD_M5'!$C$4:$C$100)+SUMIF('CvsD_M6'!$B$4:$B$100,B9,'CvsD_M6'!$C$4:$C$100)+SUMIF('AvsC_M1'!$B$4:$B$100,B9,'AvsC_M1'!$C$4:$C$100)+SUMIF('AvsC_M2'!$B$4:$B$100,B9,'AvsC_M2'!$C$4:$C$100)+SUMIF('AvsC_M3'!$B$4:$B$100,B9,'AvsC_M3'!$C$4:$C$100)+SUMIF('AvsC_M4'!$B$4:$B$100,B9,'AvsC_M4'!$C$4:$C$100)+SUMIF('AvsC_M5'!$B$4:$B$100,B9,'AvsC_M5'!$C$4:$C$100)+SUMIF('AvsC_M6'!$B$4:$B$100,B9,'AvsC_M6'!$C$4:$C$100)+SUMIF('BvsD_M1'!$B$4:$B$100,B9,'BvsD_M1'!$C$4:$C$100)+SUMIF('BvsD_M2'!$B$4:$B$100,B9,'BvsD_M2'!$C$4:$C$100)+SUMIF('BvsD_M3'!$B$4:$B$100,B9,'BvsD_M3'!$C$4:$C$100)+SUMIF('BvsD_M4'!$B$4:$B$100,B9,'BvsD_M4'!$C$4:$C$100)+SUMIF('BvsD_M5'!$B$4:$B$100,B9,'BvsD_M5'!$C$4:$C$100)+SUMIF('BvsD_M6'!$B$4:$B$100,B9,'BvsD_M6'!$C$4:$C$100)+SUMIF('AvsD_M1'!$B$4:$B$100,B9,'AvsD_M1'!$C$4:$C$100)+SUMIF('AvsD_M2'!$B$4:$B$100,B9,'AvsD_M2'!$C$4:$C$100)+SUMIF('AvsD_M3'!$B$4:$B$100,B9,'AvsD_M3'!$C$4:$C$100)+SUMIF('AvsD_M4'!$B$4:$B$100,B9,'AvsD_M4'!$C$4:$C$100)+SUMIF('AvsD_M5'!$B$4:$B$100,B9,'AvsD_M5'!$C$4:$C$100)+SUMIF('AvsD_M6'!$B$4:$B$100,B9,'AvsD_M6'!$C$4:$C$100)+SUMIF('BvsC_M1'!$B$4:$B$100,B9,'BvsC_M1'!$C$4:$C$100)+SUMIF('BvsC_M2'!$B$4:$B$100,B9,'BvsC_M2'!$C$4:$C$100)+SUMIF('BvsC_M3'!$B$4:$B$100,B9,'BvsC_M3'!$C$4:$C$100)+SUMIF('BvsC_M4'!$B$4:$B$100,B9,'BvsC_M4'!$C$4:$C$100)+SUMIF('BvsC_M5'!$B$4:$B$100,B9,'BvsC_M5'!$C$4:$C$100)+SUMIF('BvsC_M6'!$B$4:$B$100,B9,'BvsC_M6'!$C$4:$C$100)</f>
        <v/>
      </c>
      <c r="E9" s="32">
        <f>SUMIF('AvsB_M1'!$B$4:$B$100,B9,'AvsB_M1'!$D$4:$D$100)+SUMIF('AvsB_M2'!$B$4:$B$100,B9,'AvsB_M2'!$D$4:$D$100)+SUMIF('AvsB_M3'!$B$4:$B$100,B9,'AvsB_M3'!$D$4:$D$100)+SUMIF('AvsB_M4'!$B$4:$B$100,B9,'AvsB_M4'!$D$4:$D$100)+SUMIF('AvsB_M5'!$B$4:$B$100,B9,'AvsB_M5'!$D$4:$D$100)+SUMIF('AvsB_M6'!$B$4:$B$100,B9,'AvsB_M6'!$D$4:$D$100)+SUMIF('CvsD_M1'!$B$4:$B$100,B9,'CvsD_M1'!$D$4:$D$100)+SUMIF('CvsD_M2'!$B$4:$B$100,B9,'CvsD_M2'!$D$4:$D$100)+SUMIF('CvsD_M3'!$B$4:$B$100,B9,'CvsD_M3'!$D$4:$D$100)+SUMIF('CvsD_M4'!$B$4:$B$100,B9,'CvsD_M4'!$D$4:$D$100)+SUMIF('CvsD_M5'!$B$4:$B$100,B9,'CvsD_M5'!$D$4:$D$100)+SUMIF('CvsD_M6'!$B$4:$B$100,B9,'CvsD_M6'!$D$4:$D$100)+SUMIF('AvsC_M1'!$B$4:$B$100,B9,'AvsC_M1'!$D$4:$D$100)+SUMIF('AvsC_M2'!$B$4:$B$100,B9,'AvsC_M2'!$D$4:$D$100)+SUMIF('AvsC_M3'!$B$4:$B$100,B9,'AvsC_M3'!$D$4:$D$100)+SUMIF('AvsC_M4'!$B$4:$B$100,B9,'AvsC_M4'!$D$4:$D$100)+SUMIF('AvsC_M5'!$B$4:$B$100,B9,'AvsC_M5'!$D$4:$D$100)+SUMIF('AvsC_M6'!$B$4:$B$100,B9,'AvsC_M6'!$D$4:$D$100)+SUMIF('BvsD_M1'!$B$4:$B$100,B9,'BvsD_M1'!$D$4:$D$100)+SUMIF('BvsD_M2'!$B$4:$B$100,B9,'BvsD_M2'!$D$4:$D$100)+SUMIF('BvsD_M3'!$B$4:$B$100,B9,'BvsD_M3'!$D$4:$D$100)+SUMIF('BvsD_M4'!$B$4:$B$100,B9,'BvsD_M4'!$D$4:$D$100)+SUMIF('BvsD_M5'!$B$4:$B$100,B9,'BvsD_M5'!$D$4:$D$100)+SUMIF('BvsD_M6'!$B$4:$B$100,B9,'BvsD_M6'!$D$4:$D$100)+SUMIF('AvsD_M1'!$B$4:$B$100,B9,'AvsD_M1'!$D$4:$D$100)+SUMIF('AvsD_M2'!$B$4:$B$100,B9,'AvsD_M2'!$D$4:$D$100)+SUMIF('AvsD_M3'!$B$4:$B$100,B9,'AvsD_M3'!$D$4:$D$100)+SUMIF('AvsD_M4'!$B$4:$B$100,B9,'AvsD_M4'!$D$4:$D$100)+SUMIF('AvsD_M5'!$B$4:$B$100,B9,'AvsD_M5'!$D$4:$D$100)+SUMIF('AvsD_M6'!$B$4:$B$100,B9,'AvsD_M6'!$D$4:$D$100)+SUMIF('BvsC_M1'!$B$4:$B$100,B9,'BvsC_M1'!$D$4:$D$100)+SUMIF('BvsC_M2'!$B$4:$B$100,B9,'BvsC_M2'!$D$4:$D$100)+SUMIF('BvsC_M3'!$B$4:$B$100,B9,'BvsC_M3'!$D$4:$D$100)+SUMIF('BvsC_M4'!$B$4:$B$100,B9,'BvsC_M4'!$D$4:$D$100)+SUMIF('BvsC_M5'!$B$4:$B$100,B9,'BvsC_M5'!$D$4:$D$100)+SUMIF('BvsC_M6'!$B$4:$B$100,B9,'BvsC_M6'!$D$4:$D$100)</f>
        <v/>
      </c>
      <c r="F9" s="32">
        <f>SUMIF('AvsB_M1'!$B$4:$B$100,B9,'AvsB_M1'!$E$4:$E$100)+SUMIF('AvsB_M2'!$B$4:$B$100,B9,'AvsB_M2'!$E$4:$E$100)+SUMIF('AvsB_M3'!$B$4:$B$100,B9,'AvsB_M3'!$E$4:$E$100)+SUMIF('AvsB_M4'!$B$4:$B$100,B9,'AvsB_M4'!$E$4:$E$100)+SUMIF('AvsB_M5'!$B$4:$B$100,B9,'AvsB_M5'!$E$4:$E$100)+SUMIF('AvsB_M6'!$B$4:$B$100,B9,'AvsB_M6'!$E$4:$E$100)+SUMIF('CvsD_M1'!$B$4:$B$100,B9,'CvsD_M1'!$E$4:$E$100)+SUMIF('CvsD_M2'!$B$4:$B$100,B9,'CvsD_M2'!$E$4:$E$100)+SUMIF('CvsD_M3'!$B$4:$B$100,B9,'CvsD_M3'!$E$4:$E$100)+SUMIF('CvsD_M4'!$B$4:$B$100,B9,'CvsD_M4'!$E$4:$E$100)+SUMIF('CvsD_M5'!$B$4:$B$100,B9,'CvsD_M5'!$E$4:$E$100)+SUMIF('CvsD_M6'!$B$4:$B$100,B9,'CvsD_M6'!$E$4:$E$100)+SUMIF('AvsC_M1'!$B$4:$B$100,B9,'AvsC_M1'!$E$4:$E$100)+SUMIF('AvsC_M2'!$B$4:$B$100,B9,'AvsC_M2'!$E$4:$E$100)+SUMIF('AvsC_M3'!$B$4:$B$100,B9,'AvsC_M3'!$E$4:$E$100)+SUMIF('AvsC_M4'!$B$4:$B$100,B9,'AvsC_M4'!$E$4:$E$100)+SUMIF('AvsC_M5'!$B$4:$B$100,B9,'AvsC_M5'!$E$4:$E$100)+SUMIF('AvsC_M6'!$B$4:$B$100,B9,'AvsC_M6'!$E$4:$E$100)+SUMIF('BvsD_M1'!$B$4:$B$100,B9,'BvsD_M1'!$E$4:$E$100)+SUMIF('BvsD_M2'!$B$4:$B$100,B9,'BvsD_M2'!$E$4:$E$100)+SUMIF('BvsD_M3'!$B$4:$B$100,B9,'BvsD_M3'!$E$4:$E$100)+SUMIF('BvsD_M4'!$B$4:$B$100,B9,'BvsD_M4'!$E$4:$E$100)+SUMIF('BvsD_M5'!$B$4:$B$100,B9,'BvsD_M5'!$E$4:$E$100)+SUMIF('BvsD_M6'!$B$4:$B$100,B9,'BvsD_M6'!$E$4:$E$100)+SUMIF('AvsD_M1'!$B$4:$B$100,B9,'AvsD_M1'!$E$4:$E$100)+SUMIF('AvsD_M2'!$B$4:$B$100,B9,'AvsD_M2'!$E$4:$E$100)+SUMIF('AvsD_M3'!$B$4:$B$100,B9,'AvsD_M3'!$E$4:$E$100)+SUMIF('AvsD_M4'!$B$4:$B$100,B9,'AvsD_M4'!$E$4:$E$100)+SUMIF('AvsD_M5'!$B$4:$B$100,B9,'AvsD_M5'!$E$4:$E$100)+SUMIF('AvsD_M6'!$B$4:$B$100,B9,'AvsD_M6'!$E$4:$E$100)+SUMIF('BvsC_M1'!$B$4:$B$100,B9,'BvsC_M1'!$E$4:$E$100)+SUMIF('BvsC_M2'!$B$4:$B$100,B9,'BvsC_M2'!$E$4:$E$100)+SUMIF('BvsC_M3'!$B$4:$B$100,B9,'BvsC_M3'!$E$4:$E$100)+SUMIF('BvsC_M4'!$B$4:$B$100,B9,'BvsC_M4'!$E$4:$E$100)+SUMIF('BvsC_M5'!$B$4:$B$100,B9,'BvsC_M5'!$E$4:$E$100)+SUMIF('BvsC_M6'!$B$4:$B$100,B9,'BvsC_M6'!$E$4:$E$100)</f>
        <v/>
      </c>
      <c r="G9" s="32">
        <f>SUMIF('AvsB_M1'!$B$4:$B$100,B9,'AvsB_M1'!$F$4:$F$100)+SUMIF('AvsB_M2'!$B$4:$B$100,B9,'AvsB_M2'!$F$4:$F$100)+SUMIF('AvsB_M3'!$B$4:$B$100,B9,'AvsB_M3'!$F$4:$F$100)+SUMIF('AvsB_M4'!$B$4:$B$100,B9,'AvsB_M4'!$F$4:$F$100)+SUMIF('AvsB_M5'!$B$4:$B$100,B9,'AvsB_M5'!$F$4:$F$100)+SUMIF('AvsB_M6'!$B$4:$B$100,B9,'AvsB_M6'!$F$4:$F$100)+SUMIF('CvsD_M1'!$B$4:$B$100,B9,'CvsD_M1'!$F$4:$F$100)+SUMIF('CvsD_M2'!$B$4:$B$100,B9,'CvsD_M2'!$F$4:$F$100)+SUMIF('CvsD_M3'!$B$4:$B$100,B9,'CvsD_M3'!$F$4:$F$100)+SUMIF('CvsD_M4'!$B$4:$B$100,B9,'CvsD_M4'!$F$4:$F$100)+SUMIF('CvsD_M5'!$B$4:$B$100,B9,'CvsD_M5'!$F$4:$F$100)+SUMIF('CvsD_M6'!$B$4:$B$100,B9,'CvsD_M6'!$F$4:$F$100)+SUMIF('AvsC_M1'!$B$4:$B$100,B9,'AvsC_M1'!$F$4:$F$100)+SUMIF('AvsC_M2'!$B$4:$B$100,B9,'AvsC_M2'!$F$4:$F$100)+SUMIF('AvsC_M3'!$B$4:$B$100,B9,'AvsC_M3'!$F$4:$F$100)+SUMIF('AvsC_M4'!$B$4:$B$100,B9,'AvsC_M4'!$F$4:$F$100)+SUMIF('AvsC_M5'!$B$4:$B$100,B9,'AvsC_M5'!$F$4:$F$100)+SUMIF('AvsC_M6'!$B$4:$B$100,B9,'AvsC_M6'!$F$4:$F$100)+SUMIF('BvsD_M1'!$B$4:$B$100,B9,'BvsD_M1'!$F$4:$F$100)+SUMIF('BvsD_M2'!$B$4:$B$100,B9,'BvsD_M2'!$F$4:$F$100)+SUMIF('BvsD_M3'!$B$4:$B$100,B9,'BvsD_M3'!$F$4:$F$100)+SUMIF('BvsD_M4'!$B$4:$B$100,B9,'BvsD_M4'!$F$4:$F$100)+SUMIF('BvsD_M5'!$B$4:$B$100,B9,'BvsD_M5'!$F$4:$F$100)+SUMIF('BvsD_M6'!$B$4:$B$100,B9,'BvsD_M6'!$F$4:$F$100)+SUMIF('AvsD_M1'!$B$4:$B$100,B9,'AvsD_M1'!$F$4:$F$100)+SUMIF('AvsD_M2'!$B$4:$B$100,B9,'AvsD_M2'!$F$4:$F$100)+SUMIF('AvsD_M3'!$B$4:$B$100,B9,'AvsD_M3'!$F$4:$F$100)+SUMIF('AvsD_M4'!$B$4:$B$100,B9,'AvsD_M4'!$F$4:$F$100)+SUMIF('AvsD_M5'!$B$4:$B$100,B9,'AvsD_M5'!$F$4:$F$100)+SUMIF('AvsD_M6'!$B$4:$B$100,B9,'AvsD_M6'!$F$4:$F$100)+SUMIF('BvsC_M1'!$B$4:$B$100,B9,'BvsC_M1'!$F$4:$F$100)+SUMIF('BvsC_M2'!$B$4:$B$100,B9,'BvsC_M2'!$F$4:$F$100)+SUMIF('BvsC_M3'!$B$4:$B$100,B9,'BvsC_M3'!$F$4:$F$100)+SUMIF('BvsC_M4'!$B$4:$B$100,B9,'BvsC_M4'!$F$4:$F$100)+SUMIF('BvsC_M5'!$B$4:$B$100,B9,'BvsC_M5'!$F$4:$F$100)+SUMIF('BvsC_M6'!$B$4:$B$100,B9,'BvsC_M6'!$F$4:$F$100)</f>
        <v/>
      </c>
      <c r="H9" s="32">
        <f>SUMIF('AvsB_M1'!$B$4:$B$100,B9,'AvsB_M1'!$G$4:$G$100)+SUMIF('AvsB_M2'!$B$4:$B$100,B9,'AvsB_M2'!$G$4:$G$100)+SUMIF('AvsB_M3'!$B$4:$B$100,B9,'AvsB_M3'!$G$4:$G$100)+SUMIF('AvsB_M4'!$B$4:$B$100,B9,'AvsB_M4'!$G$4:$G$100)+SUMIF('AvsB_M5'!$B$4:$B$100,B9,'AvsB_M5'!$G$4:$G$100)+SUMIF('AvsB_M6'!$B$4:$B$100,B9,'AvsB_M6'!$G$4:$G$100)+SUMIF('CvsD_M1'!$B$4:$B$100,B9,'CvsD_M1'!$G$4:$G$100)+SUMIF('CvsD_M2'!$B$4:$B$100,B9,'CvsD_M2'!$G$4:$G$100)+SUMIF('CvsD_M3'!$B$4:$B$100,B9,'CvsD_M3'!$G$4:$G$100)+SUMIF('CvsD_M4'!$B$4:$B$100,B9,'CvsD_M4'!$G$4:$G$100)+SUMIF('CvsD_M5'!$B$4:$B$100,B9,'CvsD_M5'!$G$4:$G$100)+SUMIF('CvsD_M6'!$B$4:$B$100,B9,'CvsD_M6'!$G$4:$G$100)+SUMIF('AvsC_M1'!$B$4:$B$100,B9,'AvsC_M1'!$G$4:$G$100)+SUMIF('AvsC_M2'!$B$4:$B$100,B9,'AvsC_M2'!$G$4:$G$100)+SUMIF('AvsC_M3'!$B$4:$B$100,B9,'AvsC_M3'!$G$4:$G$100)+SUMIF('AvsC_M4'!$B$4:$B$100,B9,'AvsC_M4'!$G$4:$G$100)+SUMIF('AvsC_M5'!$B$4:$B$100,B9,'AvsC_M5'!$G$4:$G$100)+SUMIF('AvsC_M6'!$B$4:$B$100,B9,'AvsC_M6'!$G$4:$G$100)+SUMIF('BvsD_M1'!$B$4:$B$100,B9,'BvsD_M1'!$G$4:$G$100)+SUMIF('BvsD_M2'!$B$4:$B$100,B9,'BvsD_M2'!$G$4:$G$100)+SUMIF('BvsD_M3'!$B$4:$B$100,B9,'BvsD_M3'!$G$4:$G$100)+SUMIF('BvsD_M4'!$B$4:$B$100,B9,'BvsD_M4'!$G$4:$G$100)+SUMIF('BvsD_M5'!$B$4:$B$100,B9,'BvsD_M5'!$G$4:$G$100)+SUMIF('BvsD_M6'!$B$4:$B$100,B9,'BvsD_M6'!$G$4:$G$100)+SUMIF('AvsD_M1'!$B$4:$B$100,B9,'AvsD_M1'!$G$4:$G$100)+SUMIF('AvsD_M2'!$B$4:$B$100,B9,'AvsD_M2'!$G$4:$G$100)+SUMIF('AvsD_M3'!$B$4:$B$100,B9,'AvsD_M3'!$G$4:$G$100)+SUMIF('AvsD_M4'!$B$4:$B$100,B9,'AvsD_M4'!$G$4:$G$100)+SUMIF('AvsD_M5'!$B$4:$B$100,B9,'AvsD_M5'!$G$4:$G$100)+SUMIF('AvsD_M6'!$B$4:$B$100,B9,'AvsD_M6'!$G$4:$G$100)+SUMIF('BvsC_M1'!$B$4:$B$100,B9,'BvsC_M1'!$G$4:$G$100)+SUMIF('BvsC_M2'!$B$4:$B$100,B9,'BvsC_M2'!$G$4:$G$100)+SUMIF('BvsC_M3'!$B$4:$B$100,B9,'BvsC_M3'!$G$4:$G$100)+SUMIF('BvsC_M4'!$B$4:$B$100,B9,'BvsC_M4'!$G$4:$G$100)+SUMIF('BvsC_M5'!$B$4:$B$100,B9,'BvsC_M5'!$G$4:$G$100)+SUMIF('BvsC_M6'!$B$4:$B$100,B9,'BvsC_M6'!$G$4:$G$100)</f>
        <v/>
      </c>
      <c r="I9" s="32">
        <f>SUMIF('AvsB_M1'!$B$4:$B$100,B9,'AvsB_M1'!$H$4:$H$100)+SUMIF('AvsB_M2'!$B$4:$B$100,B9,'AvsB_M2'!$H$4:$H$100)+SUMIF('AvsB_M3'!$B$4:$B$100,B9,'AvsB_M3'!$H$4:$H$100)+SUMIF('AvsB_M4'!$B$4:$B$100,B9,'AvsB_M4'!$H$4:$H$100)+SUMIF('AvsB_M5'!$B$4:$B$100,B9,'AvsB_M5'!$H$4:$H$100)+SUMIF('AvsB_M6'!$B$4:$B$100,B9,'AvsB_M6'!$H$4:$H$100)+SUMIF('CvsD_M1'!$B$4:$B$100,B9,'CvsD_M1'!$H$4:$H$100)+SUMIF('CvsD_M2'!$B$4:$B$100,B9,'CvsD_M2'!$H$4:$H$100)+SUMIF('CvsD_M3'!$B$4:$B$100,B9,'CvsD_M3'!$H$4:$H$100)+SUMIF('CvsD_M4'!$B$4:$B$100,B9,'CvsD_M4'!$H$4:$H$100)+SUMIF('CvsD_M5'!$B$4:$B$100,B9,'CvsD_M5'!$H$4:$H$100)+SUMIF('CvsD_M6'!$B$4:$B$100,B9,'CvsD_M6'!$H$4:$H$100)+SUMIF('AvsC_M1'!$B$4:$B$100,B9,'AvsC_M1'!$H$4:$H$100)+SUMIF('AvsC_M2'!$B$4:$B$100,B9,'AvsC_M2'!$H$4:$H$100)+SUMIF('AvsC_M3'!$B$4:$B$100,B9,'AvsC_M3'!$H$4:$H$100)+SUMIF('AvsC_M4'!$B$4:$B$100,B9,'AvsC_M4'!$H$4:$H$100)+SUMIF('AvsC_M5'!$B$4:$B$100,B9,'AvsC_M5'!$H$4:$H$100)+SUMIF('AvsC_M6'!$B$4:$B$100,B9,'AvsC_M6'!$H$4:$H$100)+SUMIF('BvsD_M1'!$B$4:$B$100,B9,'BvsD_M1'!$H$4:$H$100)+SUMIF('BvsD_M2'!$B$4:$B$100,B9,'BvsD_M2'!$H$4:$H$100)+SUMIF('BvsD_M3'!$B$4:$B$100,B9,'BvsD_M3'!$H$4:$H$100)+SUMIF('BvsD_M4'!$B$4:$B$100,B9,'BvsD_M4'!$H$4:$H$100)+SUMIF('BvsD_M5'!$B$4:$B$100,B9,'BvsD_M5'!$H$4:$H$100)+SUMIF('BvsD_M6'!$B$4:$B$100,B9,'BvsD_M6'!$H$4:$H$100)+SUMIF('AvsD_M1'!$B$4:$B$100,B9,'AvsD_M1'!$H$4:$H$100)+SUMIF('AvsD_M2'!$B$4:$B$100,B9,'AvsD_M2'!$H$4:$H$100)+SUMIF('AvsD_M3'!$B$4:$B$100,B9,'AvsD_M3'!$H$4:$H$100)+SUMIF('AvsD_M4'!$B$4:$B$100,B9,'AvsD_M4'!$H$4:$H$100)+SUMIF('AvsD_M5'!$B$4:$B$100,B9,'AvsD_M5'!$H$4:$H$100)+SUMIF('AvsD_M6'!$B$4:$B$100,B9,'AvsD_M6'!$H$4:$H$100)+SUMIF('BvsC_M1'!$B$4:$B$100,B9,'BvsC_M1'!$H$4:$H$100)+SUMIF('BvsC_M2'!$B$4:$B$100,B9,'BvsC_M2'!$H$4:$H$100)+SUMIF('BvsC_M3'!$B$4:$B$100,B9,'BvsC_M3'!$H$4:$H$100)+SUMIF('BvsC_M4'!$B$4:$B$100,B9,'BvsC_M4'!$H$4:$H$100)+SUMIF('BvsC_M5'!$B$4:$B$100,B9,'BvsC_M5'!$H$4:$H$100)+SUMIF('BvsC_M6'!$B$4:$B$100,B9,'BvsC_M6'!$H$4:$H$100)</f>
        <v/>
      </c>
      <c r="J9" s="32">
        <f>SUMIF('AvsB_M1'!$B$4:$B$100,B9,'AvsB_M1'!$I$4:$I$100)+SUMIF('AvsB_M2'!$B$4:$B$100,B9,'AvsB_M2'!$I$4:$I$100)+SUMIF('AvsB_M3'!$B$4:$B$100,B9,'AvsB_M3'!$I$4:$I$100)+SUMIF('AvsB_M4'!$B$4:$B$100,B9,'AvsB_M4'!$I$4:$I$100)+SUMIF('AvsB_M5'!$B$4:$B$100,B9,'AvsB_M5'!$I$4:$I$100)+SUMIF('AvsB_M6'!$B$4:$B$100,B9,'AvsB_M6'!$I$4:$I$100)+SUMIF('CvsD_M1'!$B$4:$B$100,B9,'CvsD_M1'!$I$4:$I$100)+SUMIF('CvsD_M2'!$B$4:$B$100,B9,'CvsD_M2'!$I$4:$I$100)+SUMIF('CvsD_M3'!$B$4:$B$100,B9,'CvsD_M3'!$I$4:$I$100)+SUMIF('CvsD_M4'!$B$4:$B$100,B9,'CvsD_M4'!$I$4:$I$100)+SUMIF('CvsD_M5'!$B$4:$B$100,B9,'CvsD_M5'!$I$4:$I$100)+SUMIF('CvsD_M6'!$B$4:$B$100,B9,'CvsD_M6'!$I$4:$I$100)+SUMIF('AvsC_M1'!$B$4:$B$100,B9,'AvsC_M1'!$I$4:$I$100)+SUMIF('AvsC_M2'!$B$4:$B$100,B9,'AvsC_M2'!$I$4:$I$100)+SUMIF('AvsC_M3'!$B$4:$B$100,B9,'AvsC_M3'!$I$4:$I$100)+SUMIF('AvsC_M4'!$B$4:$B$100,B9,'AvsC_M4'!$I$4:$I$100)+SUMIF('AvsC_M5'!$B$4:$B$100,B9,'AvsC_M5'!$I$4:$I$100)+SUMIF('AvsC_M6'!$B$4:$B$100,B9,'AvsC_M6'!$I$4:$I$100)+SUMIF('BvsD_M1'!$B$4:$B$100,B9,'BvsD_M1'!$I$4:$I$100)+SUMIF('BvsD_M2'!$B$4:$B$100,B9,'BvsD_M2'!$I$4:$I$100)+SUMIF('BvsD_M3'!$B$4:$B$100,B9,'BvsD_M3'!$I$4:$I$100)+SUMIF('BvsD_M4'!$B$4:$B$100,B9,'BvsD_M4'!$I$4:$I$100)+SUMIF('BvsD_M5'!$B$4:$B$100,B9,'BvsD_M5'!$I$4:$I$100)+SUMIF('BvsD_M6'!$B$4:$B$100,B9,'BvsD_M6'!$I$4:$I$100)+SUMIF('AvsD_M1'!$B$4:$B$100,B9,'AvsD_M1'!$I$4:$I$100)+SUMIF('AvsD_M2'!$B$4:$B$100,B9,'AvsD_M2'!$I$4:$I$100)+SUMIF('AvsD_M3'!$B$4:$B$100,B9,'AvsD_M3'!$I$4:$I$100)+SUMIF('AvsD_M4'!$B$4:$B$100,B9,'AvsD_M4'!$I$4:$I$100)+SUMIF('AvsD_M5'!$B$4:$B$100,B9,'AvsD_M5'!$I$4:$I$100)+SUMIF('AvsD_M6'!$B$4:$B$100,B9,'AvsD_M6'!$I$4:$I$100)+SUMIF('BvsC_M1'!$B$4:$B$100,B9,'BvsC_M1'!$I$4:$I$100)+SUMIF('BvsC_M2'!$B$4:$B$100,B9,'BvsC_M2'!$I$4:$I$100)+SUMIF('BvsC_M3'!$B$4:$B$100,B9,'BvsC_M3'!$I$4:$I$100)+SUMIF('BvsC_M4'!$B$4:$B$100,B9,'BvsC_M4'!$I$4:$I$100)+SUMIF('BvsC_M5'!$B$4:$B$100,B9,'BvsC_M5'!$I$4:$I$100)+SUMIF('BvsC_M6'!$B$4:$B$100,B9,'BvsC_M6'!$I$4:$I$100)</f>
        <v/>
      </c>
    </row>
    <row r="10">
      <c r="A10" s="32" t="n">
        <v>7</v>
      </c>
      <c r="B10" s="32" t="inlineStr">
        <is>
          <t>KALI-2</t>
        </is>
      </c>
      <c r="C10" s="32">
        <f>COUNTIF('AvsB_M1'!$B$4:$B$100,B10)+COUNTIF('AvsB_M2'!$B$4:$B$100,B10)+COUNTIF('AvsB_M3'!$B$4:$B$100,B10)+COUNTIF('AvsB_M4'!$B$4:$B$100,B10)+COUNTIF('AvsB_M5'!$B$4:$B$100,B10)+COUNTIF('AvsB_M6'!$B$4:$B$100,B10)+COUNTIF('CvsD_M1'!$B$4:$B$100,B10)+COUNTIF('CvsD_M2'!$B$4:$B$100,B10)+COUNTIF('CvsD_M3'!$B$4:$B$100,B10)+COUNTIF('CvsD_M4'!$B$4:$B$100,B10)+COUNTIF('CvsD_M5'!$B$4:$B$100,B10)+COUNTIF('CvsD_M6'!$B$4:$B$100,B10)+COUNTIF('AvsC_M1'!$B$4:$B$100,B10)+COUNTIF('AvsC_M2'!$B$4:$B$100,B10)+COUNTIF('AvsC_M3'!$B$4:$B$100,B10)+COUNTIF('AvsC_M4'!$B$4:$B$100,B10)+COUNTIF('AvsC_M5'!$B$4:$B$100,B10)+COUNTIF('AvsC_M6'!$B$4:$B$100,B10)+COUNTIF('BvsD_M1'!$B$4:$B$100,B10)+COUNTIF('BvsD_M2'!$B$4:$B$100,B10)+COUNTIF('BvsD_M3'!$B$4:$B$100,B10)+COUNTIF('BvsD_M4'!$B$4:$B$100,B10)+COUNTIF('BvsD_M5'!$B$4:$B$100,B10)+COUNTIF('BvsD_M6'!$B$4:$B$100,B10)+COUNTIF('AvsD_M1'!$B$4:$B$100,B10)+COUNTIF('AvsD_M2'!$B$4:$B$100,B10)+COUNTIF('AvsD_M3'!$B$4:$B$100,B10)+COUNTIF('AvsD_M4'!$B$4:$B$100,B10)+COUNTIF('AvsD_M5'!$B$4:$B$100,B10)+COUNTIF('AvsD_M6'!$B$4:$B$100,B10)+COUNTIF('BvsC_M1'!$B$4:$B$100,B10)+COUNTIF('BvsC_M2'!$B$4:$B$100,B10)+COUNTIF('BvsC_M3'!$B$4:$B$100,B10)+COUNTIF('BvsC_M4'!$B$4:$B$100,B10)+COUNTIF('BvsC_M5'!$B$4:$B$100,B10)+COUNTIF('BvsC_M6'!$B$4:$B$100,B10)</f>
        <v/>
      </c>
      <c r="D10" s="32">
        <f>SUMIF('AvsB_M1'!$B$4:$B$100,B10,'AvsB_M1'!$C$4:$C$100)+SUMIF('AvsB_M2'!$B$4:$B$100,B10,'AvsB_M2'!$C$4:$C$100)+SUMIF('AvsB_M3'!$B$4:$B$100,B10,'AvsB_M3'!$C$4:$C$100)+SUMIF('AvsB_M4'!$B$4:$B$100,B10,'AvsB_M4'!$C$4:$C$100)+SUMIF('AvsB_M5'!$B$4:$B$100,B10,'AvsB_M5'!$C$4:$C$100)+SUMIF('AvsB_M6'!$B$4:$B$100,B10,'AvsB_M6'!$C$4:$C$100)+SUMIF('CvsD_M1'!$B$4:$B$100,B10,'CvsD_M1'!$C$4:$C$100)+SUMIF('CvsD_M2'!$B$4:$B$100,B10,'CvsD_M2'!$C$4:$C$100)+SUMIF('CvsD_M3'!$B$4:$B$100,B10,'CvsD_M3'!$C$4:$C$100)+SUMIF('CvsD_M4'!$B$4:$B$100,B10,'CvsD_M4'!$C$4:$C$100)+SUMIF('CvsD_M5'!$B$4:$B$100,B10,'CvsD_M5'!$C$4:$C$100)+SUMIF('CvsD_M6'!$B$4:$B$100,B10,'CvsD_M6'!$C$4:$C$100)+SUMIF('AvsC_M1'!$B$4:$B$100,B10,'AvsC_M1'!$C$4:$C$100)+SUMIF('AvsC_M2'!$B$4:$B$100,B10,'AvsC_M2'!$C$4:$C$100)+SUMIF('AvsC_M3'!$B$4:$B$100,B10,'AvsC_M3'!$C$4:$C$100)+SUMIF('AvsC_M4'!$B$4:$B$100,B10,'AvsC_M4'!$C$4:$C$100)+SUMIF('AvsC_M5'!$B$4:$B$100,B10,'AvsC_M5'!$C$4:$C$100)+SUMIF('AvsC_M6'!$B$4:$B$100,B10,'AvsC_M6'!$C$4:$C$100)+SUMIF('BvsD_M1'!$B$4:$B$100,B10,'BvsD_M1'!$C$4:$C$100)+SUMIF('BvsD_M2'!$B$4:$B$100,B10,'BvsD_M2'!$C$4:$C$100)+SUMIF('BvsD_M3'!$B$4:$B$100,B10,'BvsD_M3'!$C$4:$C$100)+SUMIF('BvsD_M4'!$B$4:$B$100,B10,'BvsD_M4'!$C$4:$C$100)+SUMIF('BvsD_M5'!$B$4:$B$100,B10,'BvsD_M5'!$C$4:$C$100)+SUMIF('BvsD_M6'!$B$4:$B$100,B10,'BvsD_M6'!$C$4:$C$100)+SUMIF('AvsD_M1'!$B$4:$B$100,B10,'AvsD_M1'!$C$4:$C$100)+SUMIF('AvsD_M2'!$B$4:$B$100,B10,'AvsD_M2'!$C$4:$C$100)+SUMIF('AvsD_M3'!$B$4:$B$100,B10,'AvsD_M3'!$C$4:$C$100)+SUMIF('AvsD_M4'!$B$4:$B$100,B10,'AvsD_M4'!$C$4:$C$100)+SUMIF('AvsD_M5'!$B$4:$B$100,B10,'AvsD_M5'!$C$4:$C$100)+SUMIF('AvsD_M6'!$B$4:$B$100,B10,'AvsD_M6'!$C$4:$C$100)+SUMIF('BvsC_M1'!$B$4:$B$100,B10,'BvsC_M1'!$C$4:$C$100)+SUMIF('BvsC_M2'!$B$4:$B$100,B10,'BvsC_M2'!$C$4:$C$100)+SUMIF('BvsC_M3'!$B$4:$B$100,B10,'BvsC_M3'!$C$4:$C$100)+SUMIF('BvsC_M4'!$B$4:$B$100,B10,'BvsC_M4'!$C$4:$C$100)+SUMIF('BvsC_M5'!$B$4:$B$100,B10,'BvsC_M5'!$C$4:$C$100)+SUMIF('BvsC_M6'!$B$4:$B$100,B10,'BvsC_M6'!$C$4:$C$100)</f>
        <v/>
      </c>
      <c r="E10" s="32">
        <f>SUMIF('AvsB_M1'!$B$4:$B$100,B10,'AvsB_M1'!$D$4:$D$100)+SUMIF('AvsB_M2'!$B$4:$B$100,B10,'AvsB_M2'!$D$4:$D$100)+SUMIF('AvsB_M3'!$B$4:$B$100,B10,'AvsB_M3'!$D$4:$D$100)+SUMIF('AvsB_M4'!$B$4:$B$100,B10,'AvsB_M4'!$D$4:$D$100)+SUMIF('AvsB_M5'!$B$4:$B$100,B10,'AvsB_M5'!$D$4:$D$100)+SUMIF('AvsB_M6'!$B$4:$B$100,B10,'AvsB_M6'!$D$4:$D$100)+SUMIF('CvsD_M1'!$B$4:$B$100,B10,'CvsD_M1'!$D$4:$D$100)+SUMIF('CvsD_M2'!$B$4:$B$100,B10,'CvsD_M2'!$D$4:$D$100)+SUMIF('CvsD_M3'!$B$4:$B$100,B10,'CvsD_M3'!$D$4:$D$100)+SUMIF('CvsD_M4'!$B$4:$B$100,B10,'CvsD_M4'!$D$4:$D$100)+SUMIF('CvsD_M5'!$B$4:$B$100,B10,'CvsD_M5'!$D$4:$D$100)+SUMIF('CvsD_M6'!$B$4:$B$100,B10,'CvsD_M6'!$D$4:$D$100)+SUMIF('AvsC_M1'!$B$4:$B$100,B10,'AvsC_M1'!$D$4:$D$100)+SUMIF('AvsC_M2'!$B$4:$B$100,B10,'AvsC_M2'!$D$4:$D$100)+SUMIF('AvsC_M3'!$B$4:$B$100,B10,'AvsC_M3'!$D$4:$D$100)+SUMIF('AvsC_M4'!$B$4:$B$100,B10,'AvsC_M4'!$D$4:$D$100)+SUMIF('AvsC_M5'!$B$4:$B$100,B10,'AvsC_M5'!$D$4:$D$100)+SUMIF('AvsC_M6'!$B$4:$B$100,B10,'AvsC_M6'!$D$4:$D$100)+SUMIF('BvsD_M1'!$B$4:$B$100,B10,'BvsD_M1'!$D$4:$D$100)+SUMIF('BvsD_M2'!$B$4:$B$100,B10,'BvsD_M2'!$D$4:$D$100)+SUMIF('BvsD_M3'!$B$4:$B$100,B10,'BvsD_M3'!$D$4:$D$100)+SUMIF('BvsD_M4'!$B$4:$B$100,B10,'BvsD_M4'!$D$4:$D$100)+SUMIF('BvsD_M5'!$B$4:$B$100,B10,'BvsD_M5'!$D$4:$D$100)+SUMIF('BvsD_M6'!$B$4:$B$100,B10,'BvsD_M6'!$D$4:$D$100)+SUMIF('AvsD_M1'!$B$4:$B$100,B10,'AvsD_M1'!$D$4:$D$100)+SUMIF('AvsD_M2'!$B$4:$B$100,B10,'AvsD_M2'!$D$4:$D$100)+SUMIF('AvsD_M3'!$B$4:$B$100,B10,'AvsD_M3'!$D$4:$D$100)+SUMIF('AvsD_M4'!$B$4:$B$100,B10,'AvsD_M4'!$D$4:$D$100)+SUMIF('AvsD_M5'!$B$4:$B$100,B10,'AvsD_M5'!$D$4:$D$100)+SUMIF('AvsD_M6'!$B$4:$B$100,B10,'AvsD_M6'!$D$4:$D$100)+SUMIF('BvsC_M1'!$B$4:$B$100,B10,'BvsC_M1'!$D$4:$D$100)+SUMIF('BvsC_M2'!$B$4:$B$100,B10,'BvsC_M2'!$D$4:$D$100)+SUMIF('BvsC_M3'!$B$4:$B$100,B10,'BvsC_M3'!$D$4:$D$100)+SUMIF('BvsC_M4'!$B$4:$B$100,B10,'BvsC_M4'!$D$4:$D$100)+SUMIF('BvsC_M5'!$B$4:$B$100,B10,'BvsC_M5'!$D$4:$D$100)+SUMIF('BvsC_M6'!$B$4:$B$100,B10,'BvsC_M6'!$D$4:$D$100)</f>
        <v/>
      </c>
      <c r="F10" s="32">
        <f>SUMIF('AvsB_M1'!$B$4:$B$100,B10,'AvsB_M1'!$E$4:$E$100)+SUMIF('AvsB_M2'!$B$4:$B$100,B10,'AvsB_M2'!$E$4:$E$100)+SUMIF('AvsB_M3'!$B$4:$B$100,B10,'AvsB_M3'!$E$4:$E$100)+SUMIF('AvsB_M4'!$B$4:$B$100,B10,'AvsB_M4'!$E$4:$E$100)+SUMIF('AvsB_M5'!$B$4:$B$100,B10,'AvsB_M5'!$E$4:$E$100)+SUMIF('AvsB_M6'!$B$4:$B$100,B10,'AvsB_M6'!$E$4:$E$100)+SUMIF('CvsD_M1'!$B$4:$B$100,B10,'CvsD_M1'!$E$4:$E$100)+SUMIF('CvsD_M2'!$B$4:$B$100,B10,'CvsD_M2'!$E$4:$E$100)+SUMIF('CvsD_M3'!$B$4:$B$100,B10,'CvsD_M3'!$E$4:$E$100)+SUMIF('CvsD_M4'!$B$4:$B$100,B10,'CvsD_M4'!$E$4:$E$100)+SUMIF('CvsD_M5'!$B$4:$B$100,B10,'CvsD_M5'!$E$4:$E$100)+SUMIF('CvsD_M6'!$B$4:$B$100,B10,'CvsD_M6'!$E$4:$E$100)+SUMIF('AvsC_M1'!$B$4:$B$100,B10,'AvsC_M1'!$E$4:$E$100)+SUMIF('AvsC_M2'!$B$4:$B$100,B10,'AvsC_M2'!$E$4:$E$100)+SUMIF('AvsC_M3'!$B$4:$B$100,B10,'AvsC_M3'!$E$4:$E$100)+SUMIF('AvsC_M4'!$B$4:$B$100,B10,'AvsC_M4'!$E$4:$E$100)+SUMIF('AvsC_M5'!$B$4:$B$100,B10,'AvsC_M5'!$E$4:$E$100)+SUMIF('AvsC_M6'!$B$4:$B$100,B10,'AvsC_M6'!$E$4:$E$100)+SUMIF('BvsD_M1'!$B$4:$B$100,B10,'BvsD_M1'!$E$4:$E$100)+SUMIF('BvsD_M2'!$B$4:$B$100,B10,'BvsD_M2'!$E$4:$E$100)+SUMIF('BvsD_M3'!$B$4:$B$100,B10,'BvsD_M3'!$E$4:$E$100)+SUMIF('BvsD_M4'!$B$4:$B$100,B10,'BvsD_M4'!$E$4:$E$100)+SUMIF('BvsD_M5'!$B$4:$B$100,B10,'BvsD_M5'!$E$4:$E$100)+SUMIF('BvsD_M6'!$B$4:$B$100,B10,'BvsD_M6'!$E$4:$E$100)+SUMIF('AvsD_M1'!$B$4:$B$100,B10,'AvsD_M1'!$E$4:$E$100)+SUMIF('AvsD_M2'!$B$4:$B$100,B10,'AvsD_M2'!$E$4:$E$100)+SUMIF('AvsD_M3'!$B$4:$B$100,B10,'AvsD_M3'!$E$4:$E$100)+SUMIF('AvsD_M4'!$B$4:$B$100,B10,'AvsD_M4'!$E$4:$E$100)+SUMIF('AvsD_M5'!$B$4:$B$100,B10,'AvsD_M5'!$E$4:$E$100)+SUMIF('AvsD_M6'!$B$4:$B$100,B10,'AvsD_M6'!$E$4:$E$100)+SUMIF('BvsC_M1'!$B$4:$B$100,B10,'BvsC_M1'!$E$4:$E$100)+SUMIF('BvsC_M2'!$B$4:$B$100,B10,'BvsC_M2'!$E$4:$E$100)+SUMIF('BvsC_M3'!$B$4:$B$100,B10,'BvsC_M3'!$E$4:$E$100)+SUMIF('BvsC_M4'!$B$4:$B$100,B10,'BvsC_M4'!$E$4:$E$100)+SUMIF('BvsC_M5'!$B$4:$B$100,B10,'BvsC_M5'!$E$4:$E$100)+SUMIF('BvsC_M6'!$B$4:$B$100,B10,'BvsC_M6'!$E$4:$E$100)</f>
        <v/>
      </c>
      <c r="G10" s="32">
        <f>SUMIF('AvsB_M1'!$B$4:$B$100,B10,'AvsB_M1'!$F$4:$F$100)+SUMIF('AvsB_M2'!$B$4:$B$100,B10,'AvsB_M2'!$F$4:$F$100)+SUMIF('AvsB_M3'!$B$4:$B$100,B10,'AvsB_M3'!$F$4:$F$100)+SUMIF('AvsB_M4'!$B$4:$B$100,B10,'AvsB_M4'!$F$4:$F$100)+SUMIF('AvsB_M5'!$B$4:$B$100,B10,'AvsB_M5'!$F$4:$F$100)+SUMIF('AvsB_M6'!$B$4:$B$100,B10,'AvsB_M6'!$F$4:$F$100)+SUMIF('CvsD_M1'!$B$4:$B$100,B10,'CvsD_M1'!$F$4:$F$100)+SUMIF('CvsD_M2'!$B$4:$B$100,B10,'CvsD_M2'!$F$4:$F$100)+SUMIF('CvsD_M3'!$B$4:$B$100,B10,'CvsD_M3'!$F$4:$F$100)+SUMIF('CvsD_M4'!$B$4:$B$100,B10,'CvsD_M4'!$F$4:$F$100)+SUMIF('CvsD_M5'!$B$4:$B$100,B10,'CvsD_M5'!$F$4:$F$100)+SUMIF('CvsD_M6'!$B$4:$B$100,B10,'CvsD_M6'!$F$4:$F$100)+SUMIF('AvsC_M1'!$B$4:$B$100,B10,'AvsC_M1'!$F$4:$F$100)+SUMIF('AvsC_M2'!$B$4:$B$100,B10,'AvsC_M2'!$F$4:$F$100)+SUMIF('AvsC_M3'!$B$4:$B$100,B10,'AvsC_M3'!$F$4:$F$100)+SUMIF('AvsC_M4'!$B$4:$B$100,B10,'AvsC_M4'!$F$4:$F$100)+SUMIF('AvsC_M5'!$B$4:$B$100,B10,'AvsC_M5'!$F$4:$F$100)+SUMIF('AvsC_M6'!$B$4:$B$100,B10,'AvsC_M6'!$F$4:$F$100)+SUMIF('BvsD_M1'!$B$4:$B$100,B10,'BvsD_M1'!$F$4:$F$100)+SUMIF('BvsD_M2'!$B$4:$B$100,B10,'BvsD_M2'!$F$4:$F$100)+SUMIF('BvsD_M3'!$B$4:$B$100,B10,'BvsD_M3'!$F$4:$F$100)+SUMIF('BvsD_M4'!$B$4:$B$100,B10,'BvsD_M4'!$F$4:$F$100)+SUMIF('BvsD_M5'!$B$4:$B$100,B10,'BvsD_M5'!$F$4:$F$100)+SUMIF('BvsD_M6'!$B$4:$B$100,B10,'BvsD_M6'!$F$4:$F$100)+SUMIF('AvsD_M1'!$B$4:$B$100,B10,'AvsD_M1'!$F$4:$F$100)+SUMIF('AvsD_M2'!$B$4:$B$100,B10,'AvsD_M2'!$F$4:$F$100)+SUMIF('AvsD_M3'!$B$4:$B$100,B10,'AvsD_M3'!$F$4:$F$100)+SUMIF('AvsD_M4'!$B$4:$B$100,B10,'AvsD_M4'!$F$4:$F$100)+SUMIF('AvsD_M5'!$B$4:$B$100,B10,'AvsD_M5'!$F$4:$F$100)+SUMIF('AvsD_M6'!$B$4:$B$100,B10,'AvsD_M6'!$F$4:$F$100)+SUMIF('BvsC_M1'!$B$4:$B$100,B10,'BvsC_M1'!$F$4:$F$100)+SUMIF('BvsC_M2'!$B$4:$B$100,B10,'BvsC_M2'!$F$4:$F$100)+SUMIF('BvsC_M3'!$B$4:$B$100,B10,'BvsC_M3'!$F$4:$F$100)+SUMIF('BvsC_M4'!$B$4:$B$100,B10,'BvsC_M4'!$F$4:$F$100)+SUMIF('BvsC_M5'!$B$4:$B$100,B10,'BvsC_M5'!$F$4:$F$100)+SUMIF('BvsC_M6'!$B$4:$B$100,B10,'BvsC_M6'!$F$4:$F$100)</f>
        <v/>
      </c>
      <c r="H10" s="32">
        <f>SUMIF('AvsB_M1'!$B$4:$B$100,B10,'AvsB_M1'!$G$4:$G$100)+SUMIF('AvsB_M2'!$B$4:$B$100,B10,'AvsB_M2'!$G$4:$G$100)+SUMIF('AvsB_M3'!$B$4:$B$100,B10,'AvsB_M3'!$G$4:$G$100)+SUMIF('AvsB_M4'!$B$4:$B$100,B10,'AvsB_M4'!$G$4:$G$100)+SUMIF('AvsB_M5'!$B$4:$B$100,B10,'AvsB_M5'!$G$4:$G$100)+SUMIF('AvsB_M6'!$B$4:$B$100,B10,'AvsB_M6'!$G$4:$G$100)+SUMIF('CvsD_M1'!$B$4:$B$100,B10,'CvsD_M1'!$G$4:$G$100)+SUMIF('CvsD_M2'!$B$4:$B$100,B10,'CvsD_M2'!$G$4:$G$100)+SUMIF('CvsD_M3'!$B$4:$B$100,B10,'CvsD_M3'!$G$4:$G$100)+SUMIF('CvsD_M4'!$B$4:$B$100,B10,'CvsD_M4'!$G$4:$G$100)+SUMIF('CvsD_M5'!$B$4:$B$100,B10,'CvsD_M5'!$G$4:$G$100)+SUMIF('CvsD_M6'!$B$4:$B$100,B10,'CvsD_M6'!$G$4:$G$100)+SUMIF('AvsC_M1'!$B$4:$B$100,B10,'AvsC_M1'!$G$4:$G$100)+SUMIF('AvsC_M2'!$B$4:$B$100,B10,'AvsC_M2'!$G$4:$G$100)+SUMIF('AvsC_M3'!$B$4:$B$100,B10,'AvsC_M3'!$G$4:$G$100)+SUMIF('AvsC_M4'!$B$4:$B$100,B10,'AvsC_M4'!$G$4:$G$100)+SUMIF('AvsC_M5'!$B$4:$B$100,B10,'AvsC_M5'!$G$4:$G$100)+SUMIF('AvsC_M6'!$B$4:$B$100,B10,'AvsC_M6'!$G$4:$G$100)+SUMIF('BvsD_M1'!$B$4:$B$100,B10,'BvsD_M1'!$G$4:$G$100)+SUMIF('BvsD_M2'!$B$4:$B$100,B10,'BvsD_M2'!$G$4:$G$100)+SUMIF('BvsD_M3'!$B$4:$B$100,B10,'BvsD_M3'!$G$4:$G$100)+SUMIF('BvsD_M4'!$B$4:$B$100,B10,'BvsD_M4'!$G$4:$G$100)+SUMIF('BvsD_M5'!$B$4:$B$100,B10,'BvsD_M5'!$G$4:$G$100)+SUMIF('BvsD_M6'!$B$4:$B$100,B10,'BvsD_M6'!$G$4:$G$100)+SUMIF('AvsD_M1'!$B$4:$B$100,B10,'AvsD_M1'!$G$4:$G$100)+SUMIF('AvsD_M2'!$B$4:$B$100,B10,'AvsD_M2'!$G$4:$G$100)+SUMIF('AvsD_M3'!$B$4:$B$100,B10,'AvsD_M3'!$G$4:$G$100)+SUMIF('AvsD_M4'!$B$4:$B$100,B10,'AvsD_M4'!$G$4:$G$100)+SUMIF('AvsD_M5'!$B$4:$B$100,B10,'AvsD_M5'!$G$4:$G$100)+SUMIF('AvsD_M6'!$B$4:$B$100,B10,'AvsD_M6'!$G$4:$G$100)+SUMIF('BvsC_M1'!$B$4:$B$100,B10,'BvsC_M1'!$G$4:$G$100)+SUMIF('BvsC_M2'!$B$4:$B$100,B10,'BvsC_M2'!$G$4:$G$100)+SUMIF('BvsC_M3'!$B$4:$B$100,B10,'BvsC_M3'!$G$4:$G$100)+SUMIF('BvsC_M4'!$B$4:$B$100,B10,'BvsC_M4'!$G$4:$G$100)+SUMIF('BvsC_M5'!$B$4:$B$100,B10,'BvsC_M5'!$G$4:$G$100)+SUMIF('BvsC_M6'!$B$4:$B$100,B10,'BvsC_M6'!$G$4:$G$100)</f>
        <v/>
      </c>
      <c r="I10" s="32">
        <f>SUMIF('AvsB_M1'!$B$4:$B$100,B10,'AvsB_M1'!$H$4:$H$100)+SUMIF('AvsB_M2'!$B$4:$B$100,B10,'AvsB_M2'!$H$4:$H$100)+SUMIF('AvsB_M3'!$B$4:$B$100,B10,'AvsB_M3'!$H$4:$H$100)+SUMIF('AvsB_M4'!$B$4:$B$100,B10,'AvsB_M4'!$H$4:$H$100)+SUMIF('AvsB_M5'!$B$4:$B$100,B10,'AvsB_M5'!$H$4:$H$100)+SUMIF('AvsB_M6'!$B$4:$B$100,B10,'AvsB_M6'!$H$4:$H$100)+SUMIF('CvsD_M1'!$B$4:$B$100,B10,'CvsD_M1'!$H$4:$H$100)+SUMIF('CvsD_M2'!$B$4:$B$100,B10,'CvsD_M2'!$H$4:$H$100)+SUMIF('CvsD_M3'!$B$4:$B$100,B10,'CvsD_M3'!$H$4:$H$100)+SUMIF('CvsD_M4'!$B$4:$B$100,B10,'CvsD_M4'!$H$4:$H$100)+SUMIF('CvsD_M5'!$B$4:$B$100,B10,'CvsD_M5'!$H$4:$H$100)+SUMIF('CvsD_M6'!$B$4:$B$100,B10,'CvsD_M6'!$H$4:$H$100)+SUMIF('AvsC_M1'!$B$4:$B$100,B10,'AvsC_M1'!$H$4:$H$100)+SUMIF('AvsC_M2'!$B$4:$B$100,B10,'AvsC_M2'!$H$4:$H$100)+SUMIF('AvsC_M3'!$B$4:$B$100,B10,'AvsC_M3'!$H$4:$H$100)+SUMIF('AvsC_M4'!$B$4:$B$100,B10,'AvsC_M4'!$H$4:$H$100)+SUMIF('AvsC_M5'!$B$4:$B$100,B10,'AvsC_M5'!$H$4:$H$100)+SUMIF('AvsC_M6'!$B$4:$B$100,B10,'AvsC_M6'!$H$4:$H$100)+SUMIF('BvsD_M1'!$B$4:$B$100,B10,'BvsD_M1'!$H$4:$H$100)+SUMIF('BvsD_M2'!$B$4:$B$100,B10,'BvsD_M2'!$H$4:$H$100)+SUMIF('BvsD_M3'!$B$4:$B$100,B10,'BvsD_M3'!$H$4:$H$100)+SUMIF('BvsD_M4'!$B$4:$B$100,B10,'BvsD_M4'!$H$4:$H$100)+SUMIF('BvsD_M5'!$B$4:$B$100,B10,'BvsD_M5'!$H$4:$H$100)+SUMIF('BvsD_M6'!$B$4:$B$100,B10,'BvsD_M6'!$H$4:$H$100)+SUMIF('AvsD_M1'!$B$4:$B$100,B10,'AvsD_M1'!$H$4:$H$100)+SUMIF('AvsD_M2'!$B$4:$B$100,B10,'AvsD_M2'!$H$4:$H$100)+SUMIF('AvsD_M3'!$B$4:$B$100,B10,'AvsD_M3'!$H$4:$H$100)+SUMIF('AvsD_M4'!$B$4:$B$100,B10,'AvsD_M4'!$H$4:$H$100)+SUMIF('AvsD_M5'!$B$4:$B$100,B10,'AvsD_M5'!$H$4:$H$100)+SUMIF('AvsD_M6'!$B$4:$B$100,B10,'AvsD_M6'!$H$4:$H$100)+SUMIF('BvsC_M1'!$B$4:$B$100,B10,'BvsC_M1'!$H$4:$H$100)+SUMIF('BvsC_M2'!$B$4:$B$100,B10,'BvsC_M2'!$H$4:$H$100)+SUMIF('BvsC_M3'!$B$4:$B$100,B10,'BvsC_M3'!$H$4:$H$100)+SUMIF('BvsC_M4'!$B$4:$B$100,B10,'BvsC_M4'!$H$4:$H$100)+SUMIF('BvsC_M5'!$B$4:$B$100,B10,'BvsC_M5'!$H$4:$H$100)+SUMIF('BvsC_M6'!$B$4:$B$100,B10,'BvsC_M6'!$H$4:$H$100)</f>
        <v/>
      </c>
      <c r="J10" s="32">
        <f>SUMIF('AvsB_M1'!$B$4:$B$100,B10,'AvsB_M1'!$I$4:$I$100)+SUMIF('AvsB_M2'!$B$4:$B$100,B10,'AvsB_M2'!$I$4:$I$100)+SUMIF('AvsB_M3'!$B$4:$B$100,B10,'AvsB_M3'!$I$4:$I$100)+SUMIF('AvsB_M4'!$B$4:$B$100,B10,'AvsB_M4'!$I$4:$I$100)+SUMIF('AvsB_M5'!$B$4:$B$100,B10,'AvsB_M5'!$I$4:$I$100)+SUMIF('AvsB_M6'!$B$4:$B$100,B10,'AvsB_M6'!$I$4:$I$100)+SUMIF('CvsD_M1'!$B$4:$B$100,B10,'CvsD_M1'!$I$4:$I$100)+SUMIF('CvsD_M2'!$B$4:$B$100,B10,'CvsD_M2'!$I$4:$I$100)+SUMIF('CvsD_M3'!$B$4:$B$100,B10,'CvsD_M3'!$I$4:$I$100)+SUMIF('CvsD_M4'!$B$4:$B$100,B10,'CvsD_M4'!$I$4:$I$100)+SUMIF('CvsD_M5'!$B$4:$B$100,B10,'CvsD_M5'!$I$4:$I$100)+SUMIF('CvsD_M6'!$B$4:$B$100,B10,'CvsD_M6'!$I$4:$I$100)+SUMIF('AvsC_M1'!$B$4:$B$100,B10,'AvsC_M1'!$I$4:$I$100)+SUMIF('AvsC_M2'!$B$4:$B$100,B10,'AvsC_M2'!$I$4:$I$100)+SUMIF('AvsC_M3'!$B$4:$B$100,B10,'AvsC_M3'!$I$4:$I$100)+SUMIF('AvsC_M4'!$B$4:$B$100,B10,'AvsC_M4'!$I$4:$I$100)+SUMIF('AvsC_M5'!$B$4:$B$100,B10,'AvsC_M5'!$I$4:$I$100)+SUMIF('AvsC_M6'!$B$4:$B$100,B10,'AvsC_M6'!$I$4:$I$100)+SUMIF('BvsD_M1'!$B$4:$B$100,B10,'BvsD_M1'!$I$4:$I$100)+SUMIF('BvsD_M2'!$B$4:$B$100,B10,'BvsD_M2'!$I$4:$I$100)+SUMIF('BvsD_M3'!$B$4:$B$100,B10,'BvsD_M3'!$I$4:$I$100)+SUMIF('BvsD_M4'!$B$4:$B$100,B10,'BvsD_M4'!$I$4:$I$100)+SUMIF('BvsD_M5'!$B$4:$B$100,B10,'BvsD_M5'!$I$4:$I$100)+SUMIF('BvsD_M6'!$B$4:$B$100,B10,'BvsD_M6'!$I$4:$I$100)+SUMIF('AvsD_M1'!$B$4:$B$100,B10,'AvsD_M1'!$I$4:$I$100)+SUMIF('AvsD_M2'!$B$4:$B$100,B10,'AvsD_M2'!$I$4:$I$100)+SUMIF('AvsD_M3'!$B$4:$B$100,B10,'AvsD_M3'!$I$4:$I$100)+SUMIF('AvsD_M4'!$B$4:$B$100,B10,'AvsD_M4'!$I$4:$I$100)+SUMIF('AvsD_M5'!$B$4:$B$100,B10,'AvsD_M5'!$I$4:$I$100)+SUMIF('AvsD_M6'!$B$4:$B$100,B10,'AvsD_M6'!$I$4:$I$100)+SUMIF('BvsC_M1'!$B$4:$B$100,B10,'BvsC_M1'!$I$4:$I$100)+SUMIF('BvsC_M2'!$B$4:$B$100,B10,'BvsC_M2'!$I$4:$I$100)+SUMIF('BvsC_M3'!$B$4:$B$100,B10,'BvsC_M3'!$I$4:$I$100)+SUMIF('BvsC_M4'!$B$4:$B$100,B10,'BvsC_M4'!$I$4:$I$100)+SUMIF('BvsC_M5'!$B$4:$B$100,B10,'BvsC_M5'!$I$4:$I$100)+SUMIF('BvsC_M6'!$B$4:$B$100,B10,'BvsC_M6'!$I$4:$I$100)</f>
        <v/>
      </c>
    </row>
    <row r="11">
      <c r="A11" s="32" t="n">
        <v>8</v>
      </c>
      <c r="B11" s="32" t="inlineStr">
        <is>
          <t>POWER HOUSE</t>
        </is>
      </c>
      <c r="C11" s="32">
        <f>COUNTIF('AvsB_M1'!$B$4:$B$100,B11)+COUNTIF('AvsB_M2'!$B$4:$B$100,B11)+COUNTIF('AvsB_M3'!$B$4:$B$100,B11)+COUNTIF('AvsB_M4'!$B$4:$B$100,B11)+COUNTIF('AvsB_M5'!$B$4:$B$100,B11)+COUNTIF('AvsB_M6'!$B$4:$B$100,B11)+COUNTIF('CvsD_M1'!$B$4:$B$100,B11)+COUNTIF('CvsD_M2'!$B$4:$B$100,B11)+COUNTIF('CvsD_M3'!$B$4:$B$100,B11)+COUNTIF('CvsD_M4'!$B$4:$B$100,B11)+COUNTIF('CvsD_M5'!$B$4:$B$100,B11)+COUNTIF('CvsD_M6'!$B$4:$B$100,B11)+COUNTIF('AvsC_M1'!$B$4:$B$100,B11)+COUNTIF('AvsC_M2'!$B$4:$B$100,B11)+COUNTIF('AvsC_M3'!$B$4:$B$100,B11)+COUNTIF('AvsC_M4'!$B$4:$B$100,B11)+COUNTIF('AvsC_M5'!$B$4:$B$100,B11)+COUNTIF('AvsC_M6'!$B$4:$B$100,B11)+COUNTIF('BvsD_M1'!$B$4:$B$100,B11)+COUNTIF('BvsD_M2'!$B$4:$B$100,B11)+COUNTIF('BvsD_M3'!$B$4:$B$100,B11)+COUNTIF('BvsD_M4'!$B$4:$B$100,B11)+COUNTIF('BvsD_M5'!$B$4:$B$100,B11)+COUNTIF('BvsD_M6'!$B$4:$B$100,B11)+COUNTIF('AvsD_M1'!$B$4:$B$100,B11)+COUNTIF('AvsD_M2'!$B$4:$B$100,B11)+COUNTIF('AvsD_M3'!$B$4:$B$100,B11)+COUNTIF('AvsD_M4'!$B$4:$B$100,B11)+COUNTIF('AvsD_M5'!$B$4:$B$100,B11)+COUNTIF('AvsD_M6'!$B$4:$B$100,B11)+COUNTIF('BvsC_M1'!$B$4:$B$100,B11)+COUNTIF('BvsC_M2'!$B$4:$B$100,B11)+COUNTIF('BvsC_M3'!$B$4:$B$100,B11)+COUNTIF('BvsC_M4'!$B$4:$B$100,B11)+COUNTIF('BvsC_M5'!$B$4:$B$100,B11)+COUNTIF('BvsC_M6'!$B$4:$B$100,B11)</f>
        <v/>
      </c>
      <c r="D11" s="32">
        <f>SUMIF('AvsB_M1'!$B$4:$B$100,B11,'AvsB_M1'!$C$4:$C$100)+SUMIF('AvsB_M2'!$B$4:$B$100,B11,'AvsB_M2'!$C$4:$C$100)+SUMIF('AvsB_M3'!$B$4:$B$100,B11,'AvsB_M3'!$C$4:$C$100)+SUMIF('AvsB_M4'!$B$4:$B$100,B11,'AvsB_M4'!$C$4:$C$100)+SUMIF('AvsB_M5'!$B$4:$B$100,B11,'AvsB_M5'!$C$4:$C$100)+SUMIF('AvsB_M6'!$B$4:$B$100,B11,'AvsB_M6'!$C$4:$C$100)+SUMIF('CvsD_M1'!$B$4:$B$100,B11,'CvsD_M1'!$C$4:$C$100)+SUMIF('CvsD_M2'!$B$4:$B$100,B11,'CvsD_M2'!$C$4:$C$100)+SUMIF('CvsD_M3'!$B$4:$B$100,B11,'CvsD_M3'!$C$4:$C$100)+SUMIF('CvsD_M4'!$B$4:$B$100,B11,'CvsD_M4'!$C$4:$C$100)+SUMIF('CvsD_M5'!$B$4:$B$100,B11,'CvsD_M5'!$C$4:$C$100)+SUMIF('CvsD_M6'!$B$4:$B$100,B11,'CvsD_M6'!$C$4:$C$100)+SUMIF('AvsC_M1'!$B$4:$B$100,B11,'AvsC_M1'!$C$4:$C$100)+SUMIF('AvsC_M2'!$B$4:$B$100,B11,'AvsC_M2'!$C$4:$C$100)+SUMIF('AvsC_M3'!$B$4:$B$100,B11,'AvsC_M3'!$C$4:$C$100)+SUMIF('AvsC_M4'!$B$4:$B$100,B11,'AvsC_M4'!$C$4:$C$100)+SUMIF('AvsC_M5'!$B$4:$B$100,B11,'AvsC_M5'!$C$4:$C$100)+SUMIF('AvsC_M6'!$B$4:$B$100,B11,'AvsC_M6'!$C$4:$C$100)+SUMIF('BvsD_M1'!$B$4:$B$100,B11,'BvsD_M1'!$C$4:$C$100)+SUMIF('BvsD_M2'!$B$4:$B$100,B11,'BvsD_M2'!$C$4:$C$100)+SUMIF('BvsD_M3'!$B$4:$B$100,B11,'BvsD_M3'!$C$4:$C$100)+SUMIF('BvsD_M4'!$B$4:$B$100,B11,'BvsD_M4'!$C$4:$C$100)+SUMIF('BvsD_M5'!$B$4:$B$100,B11,'BvsD_M5'!$C$4:$C$100)+SUMIF('BvsD_M6'!$B$4:$B$100,B11,'BvsD_M6'!$C$4:$C$100)+SUMIF('AvsD_M1'!$B$4:$B$100,B11,'AvsD_M1'!$C$4:$C$100)+SUMIF('AvsD_M2'!$B$4:$B$100,B11,'AvsD_M2'!$C$4:$C$100)+SUMIF('AvsD_M3'!$B$4:$B$100,B11,'AvsD_M3'!$C$4:$C$100)+SUMIF('AvsD_M4'!$B$4:$B$100,B11,'AvsD_M4'!$C$4:$C$100)+SUMIF('AvsD_M5'!$B$4:$B$100,B11,'AvsD_M5'!$C$4:$C$100)+SUMIF('AvsD_M6'!$B$4:$B$100,B11,'AvsD_M6'!$C$4:$C$100)+SUMIF('BvsC_M1'!$B$4:$B$100,B11,'BvsC_M1'!$C$4:$C$100)+SUMIF('BvsC_M2'!$B$4:$B$100,B11,'BvsC_M2'!$C$4:$C$100)+SUMIF('BvsC_M3'!$B$4:$B$100,B11,'BvsC_M3'!$C$4:$C$100)+SUMIF('BvsC_M4'!$B$4:$B$100,B11,'BvsC_M4'!$C$4:$C$100)+SUMIF('BvsC_M5'!$B$4:$B$100,B11,'BvsC_M5'!$C$4:$C$100)+SUMIF('BvsC_M6'!$B$4:$B$100,B11,'BvsC_M6'!$C$4:$C$100)</f>
        <v/>
      </c>
      <c r="E11" s="32">
        <f>SUMIF('AvsB_M1'!$B$4:$B$100,B11,'AvsB_M1'!$D$4:$D$100)+SUMIF('AvsB_M2'!$B$4:$B$100,B11,'AvsB_M2'!$D$4:$D$100)+SUMIF('AvsB_M3'!$B$4:$B$100,B11,'AvsB_M3'!$D$4:$D$100)+SUMIF('AvsB_M4'!$B$4:$B$100,B11,'AvsB_M4'!$D$4:$D$100)+SUMIF('AvsB_M5'!$B$4:$B$100,B11,'AvsB_M5'!$D$4:$D$100)+SUMIF('AvsB_M6'!$B$4:$B$100,B11,'AvsB_M6'!$D$4:$D$100)+SUMIF('CvsD_M1'!$B$4:$B$100,B11,'CvsD_M1'!$D$4:$D$100)+SUMIF('CvsD_M2'!$B$4:$B$100,B11,'CvsD_M2'!$D$4:$D$100)+SUMIF('CvsD_M3'!$B$4:$B$100,B11,'CvsD_M3'!$D$4:$D$100)+SUMIF('CvsD_M4'!$B$4:$B$100,B11,'CvsD_M4'!$D$4:$D$100)+SUMIF('CvsD_M5'!$B$4:$B$100,B11,'CvsD_M5'!$D$4:$D$100)+SUMIF('CvsD_M6'!$B$4:$B$100,B11,'CvsD_M6'!$D$4:$D$100)+SUMIF('AvsC_M1'!$B$4:$B$100,B11,'AvsC_M1'!$D$4:$D$100)+SUMIF('AvsC_M2'!$B$4:$B$100,B11,'AvsC_M2'!$D$4:$D$100)+SUMIF('AvsC_M3'!$B$4:$B$100,B11,'AvsC_M3'!$D$4:$D$100)+SUMIF('AvsC_M4'!$B$4:$B$100,B11,'AvsC_M4'!$D$4:$D$100)+SUMIF('AvsC_M5'!$B$4:$B$100,B11,'AvsC_M5'!$D$4:$D$100)+SUMIF('AvsC_M6'!$B$4:$B$100,B11,'AvsC_M6'!$D$4:$D$100)+SUMIF('BvsD_M1'!$B$4:$B$100,B11,'BvsD_M1'!$D$4:$D$100)+SUMIF('BvsD_M2'!$B$4:$B$100,B11,'BvsD_M2'!$D$4:$D$100)+SUMIF('BvsD_M3'!$B$4:$B$100,B11,'BvsD_M3'!$D$4:$D$100)+SUMIF('BvsD_M4'!$B$4:$B$100,B11,'BvsD_M4'!$D$4:$D$100)+SUMIF('BvsD_M5'!$B$4:$B$100,B11,'BvsD_M5'!$D$4:$D$100)+SUMIF('BvsD_M6'!$B$4:$B$100,B11,'BvsD_M6'!$D$4:$D$100)+SUMIF('AvsD_M1'!$B$4:$B$100,B11,'AvsD_M1'!$D$4:$D$100)+SUMIF('AvsD_M2'!$B$4:$B$100,B11,'AvsD_M2'!$D$4:$D$100)+SUMIF('AvsD_M3'!$B$4:$B$100,B11,'AvsD_M3'!$D$4:$D$100)+SUMIF('AvsD_M4'!$B$4:$B$100,B11,'AvsD_M4'!$D$4:$D$100)+SUMIF('AvsD_M5'!$B$4:$B$100,B11,'AvsD_M5'!$D$4:$D$100)+SUMIF('AvsD_M6'!$B$4:$B$100,B11,'AvsD_M6'!$D$4:$D$100)+SUMIF('BvsC_M1'!$B$4:$B$100,B11,'BvsC_M1'!$D$4:$D$100)+SUMIF('BvsC_M2'!$B$4:$B$100,B11,'BvsC_M2'!$D$4:$D$100)+SUMIF('BvsC_M3'!$B$4:$B$100,B11,'BvsC_M3'!$D$4:$D$100)+SUMIF('BvsC_M4'!$B$4:$B$100,B11,'BvsC_M4'!$D$4:$D$100)+SUMIF('BvsC_M5'!$B$4:$B$100,B11,'BvsC_M5'!$D$4:$D$100)+SUMIF('BvsC_M6'!$B$4:$B$100,B11,'BvsC_M6'!$D$4:$D$100)</f>
        <v/>
      </c>
      <c r="F11" s="32">
        <f>SUMIF('AvsB_M1'!$B$4:$B$100,B11,'AvsB_M1'!$E$4:$E$100)+SUMIF('AvsB_M2'!$B$4:$B$100,B11,'AvsB_M2'!$E$4:$E$100)+SUMIF('AvsB_M3'!$B$4:$B$100,B11,'AvsB_M3'!$E$4:$E$100)+SUMIF('AvsB_M4'!$B$4:$B$100,B11,'AvsB_M4'!$E$4:$E$100)+SUMIF('AvsB_M5'!$B$4:$B$100,B11,'AvsB_M5'!$E$4:$E$100)+SUMIF('AvsB_M6'!$B$4:$B$100,B11,'AvsB_M6'!$E$4:$E$100)+SUMIF('CvsD_M1'!$B$4:$B$100,B11,'CvsD_M1'!$E$4:$E$100)+SUMIF('CvsD_M2'!$B$4:$B$100,B11,'CvsD_M2'!$E$4:$E$100)+SUMIF('CvsD_M3'!$B$4:$B$100,B11,'CvsD_M3'!$E$4:$E$100)+SUMIF('CvsD_M4'!$B$4:$B$100,B11,'CvsD_M4'!$E$4:$E$100)+SUMIF('CvsD_M5'!$B$4:$B$100,B11,'CvsD_M5'!$E$4:$E$100)+SUMIF('CvsD_M6'!$B$4:$B$100,B11,'CvsD_M6'!$E$4:$E$100)+SUMIF('AvsC_M1'!$B$4:$B$100,B11,'AvsC_M1'!$E$4:$E$100)+SUMIF('AvsC_M2'!$B$4:$B$100,B11,'AvsC_M2'!$E$4:$E$100)+SUMIF('AvsC_M3'!$B$4:$B$100,B11,'AvsC_M3'!$E$4:$E$100)+SUMIF('AvsC_M4'!$B$4:$B$100,B11,'AvsC_M4'!$E$4:$E$100)+SUMIF('AvsC_M5'!$B$4:$B$100,B11,'AvsC_M5'!$E$4:$E$100)+SUMIF('AvsC_M6'!$B$4:$B$100,B11,'AvsC_M6'!$E$4:$E$100)+SUMIF('BvsD_M1'!$B$4:$B$100,B11,'BvsD_M1'!$E$4:$E$100)+SUMIF('BvsD_M2'!$B$4:$B$100,B11,'BvsD_M2'!$E$4:$E$100)+SUMIF('BvsD_M3'!$B$4:$B$100,B11,'BvsD_M3'!$E$4:$E$100)+SUMIF('BvsD_M4'!$B$4:$B$100,B11,'BvsD_M4'!$E$4:$E$100)+SUMIF('BvsD_M5'!$B$4:$B$100,B11,'BvsD_M5'!$E$4:$E$100)+SUMIF('BvsD_M6'!$B$4:$B$100,B11,'BvsD_M6'!$E$4:$E$100)+SUMIF('AvsD_M1'!$B$4:$B$100,B11,'AvsD_M1'!$E$4:$E$100)+SUMIF('AvsD_M2'!$B$4:$B$100,B11,'AvsD_M2'!$E$4:$E$100)+SUMIF('AvsD_M3'!$B$4:$B$100,B11,'AvsD_M3'!$E$4:$E$100)+SUMIF('AvsD_M4'!$B$4:$B$100,B11,'AvsD_M4'!$E$4:$E$100)+SUMIF('AvsD_M5'!$B$4:$B$100,B11,'AvsD_M5'!$E$4:$E$100)+SUMIF('AvsD_M6'!$B$4:$B$100,B11,'AvsD_M6'!$E$4:$E$100)+SUMIF('BvsC_M1'!$B$4:$B$100,B11,'BvsC_M1'!$E$4:$E$100)+SUMIF('BvsC_M2'!$B$4:$B$100,B11,'BvsC_M2'!$E$4:$E$100)+SUMIF('BvsC_M3'!$B$4:$B$100,B11,'BvsC_M3'!$E$4:$E$100)+SUMIF('BvsC_M4'!$B$4:$B$100,B11,'BvsC_M4'!$E$4:$E$100)+SUMIF('BvsC_M5'!$B$4:$B$100,B11,'BvsC_M5'!$E$4:$E$100)+SUMIF('BvsC_M6'!$B$4:$B$100,B11,'BvsC_M6'!$E$4:$E$100)</f>
        <v/>
      </c>
      <c r="G11" s="32">
        <f>SUMIF('AvsB_M1'!$B$4:$B$100,B11,'AvsB_M1'!$F$4:$F$100)+SUMIF('AvsB_M2'!$B$4:$B$100,B11,'AvsB_M2'!$F$4:$F$100)+SUMIF('AvsB_M3'!$B$4:$B$100,B11,'AvsB_M3'!$F$4:$F$100)+SUMIF('AvsB_M4'!$B$4:$B$100,B11,'AvsB_M4'!$F$4:$F$100)+SUMIF('AvsB_M5'!$B$4:$B$100,B11,'AvsB_M5'!$F$4:$F$100)+SUMIF('AvsB_M6'!$B$4:$B$100,B11,'AvsB_M6'!$F$4:$F$100)+SUMIF('CvsD_M1'!$B$4:$B$100,B11,'CvsD_M1'!$F$4:$F$100)+SUMIF('CvsD_M2'!$B$4:$B$100,B11,'CvsD_M2'!$F$4:$F$100)+SUMIF('CvsD_M3'!$B$4:$B$100,B11,'CvsD_M3'!$F$4:$F$100)+SUMIF('CvsD_M4'!$B$4:$B$100,B11,'CvsD_M4'!$F$4:$F$100)+SUMIF('CvsD_M5'!$B$4:$B$100,B11,'CvsD_M5'!$F$4:$F$100)+SUMIF('CvsD_M6'!$B$4:$B$100,B11,'CvsD_M6'!$F$4:$F$100)+SUMIF('AvsC_M1'!$B$4:$B$100,B11,'AvsC_M1'!$F$4:$F$100)+SUMIF('AvsC_M2'!$B$4:$B$100,B11,'AvsC_M2'!$F$4:$F$100)+SUMIF('AvsC_M3'!$B$4:$B$100,B11,'AvsC_M3'!$F$4:$F$100)+SUMIF('AvsC_M4'!$B$4:$B$100,B11,'AvsC_M4'!$F$4:$F$100)+SUMIF('AvsC_M5'!$B$4:$B$100,B11,'AvsC_M5'!$F$4:$F$100)+SUMIF('AvsC_M6'!$B$4:$B$100,B11,'AvsC_M6'!$F$4:$F$100)+SUMIF('BvsD_M1'!$B$4:$B$100,B11,'BvsD_M1'!$F$4:$F$100)+SUMIF('BvsD_M2'!$B$4:$B$100,B11,'BvsD_M2'!$F$4:$F$100)+SUMIF('BvsD_M3'!$B$4:$B$100,B11,'BvsD_M3'!$F$4:$F$100)+SUMIF('BvsD_M4'!$B$4:$B$100,B11,'BvsD_M4'!$F$4:$F$100)+SUMIF('BvsD_M5'!$B$4:$B$100,B11,'BvsD_M5'!$F$4:$F$100)+SUMIF('BvsD_M6'!$B$4:$B$100,B11,'BvsD_M6'!$F$4:$F$100)+SUMIF('AvsD_M1'!$B$4:$B$100,B11,'AvsD_M1'!$F$4:$F$100)+SUMIF('AvsD_M2'!$B$4:$B$100,B11,'AvsD_M2'!$F$4:$F$100)+SUMIF('AvsD_M3'!$B$4:$B$100,B11,'AvsD_M3'!$F$4:$F$100)+SUMIF('AvsD_M4'!$B$4:$B$100,B11,'AvsD_M4'!$F$4:$F$100)+SUMIF('AvsD_M5'!$B$4:$B$100,B11,'AvsD_M5'!$F$4:$F$100)+SUMIF('AvsD_M6'!$B$4:$B$100,B11,'AvsD_M6'!$F$4:$F$100)+SUMIF('BvsC_M1'!$B$4:$B$100,B11,'BvsC_M1'!$F$4:$F$100)+SUMIF('BvsC_M2'!$B$4:$B$100,B11,'BvsC_M2'!$F$4:$F$100)+SUMIF('BvsC_M3'!$B$4:$B$100,B11,'BvsC_M3'!$F$4:$F$100)+SUMIF('BvsC_M4'!$B$4:$B$100,B11,'BvsC_M4'!$F$4:$F$100)+SUMIF('BvsC_M5'!$B$4:$B$100,B11,'BvsC_M5'!$F$4:$F$100)+SUMIF('BvsC_M6'!$B$4:$B$100,B11,'BvsC_M6'!$F$4:$F$100)</f>
        <v/>
      </c>
      <c r="H11" s="32">
        <f>SUMIF('AvsB_M1'!$B$4:$B$100,B11,'AvsB_M1'!$G$4:$G$100)+SUMIF('AvsB_M2'!$B$4:$B$100,B11,'AvsB_M2'!$G$4:$G$100)+SUMIF('AvsB_M3'!$B$4:$B$100,B11,'AvsB_M3'!$G$4:$G$100)+SUMIF('AvsB_M4'!$B$4:$B$100,B11,'AvsB_M4'!$G$4:$G$100)+SUMIF('AvsB_M5'!$B$4:$B$100,B11,'AvsB_M5'!$G$4:$G$100)+SUMIF('AvsB_M6'!$B$4:$B$100,B11,'AvsB_M6'!$G$4:$G$100)+SUMIF('CvsD_M1'!$B$4:$B$100,B11,'CvsD_M1'!$G$4:$G$100)+SUMIF('CvsD_M2'!$B$4:$B$100,B11,'CvsD_M2'!$G$4:$G$100)+SUMIF('CvsD_M3'!$B$4:$B$100,B11,'CvsD_M3'!$G$4:$G$100)+SUMIF('CvsD_M4'!$B$4:$B$100,B11,'CvsD_M4'!$G$4:$G$100)+SUMIF('CvsD_M5'!$B$4:$B$100,B11,'CvsD_M5'!$G$4:$G$100)+SUMIF('CvsD_M6'!$B$4:$B$100,B11,'CvsD_M6'!$G$4:$G$100)+SUMIF('AvsC_M1'!$B$4:$B$100,B11,'AvsC_M1'!$G$4:$G$100)+SUMIF('AvsC_M2'!$B$4:$B$100,B11,'AvsC_M2'!$G$4:$G$100)+SUMIF('AvsC_M3'!$B$4:$B$100,B11,'AvsC_M3'!$G$4:$G$100)+SUMIF('AvsC_M4'!$B$4:$B$100,B11,'AvsC_M4'!$G$4:$G$100)+SUMIF('AvsC_M5'!$B$4:$B$100,B11,'AvsC_M5'!$G$4:$G$100)+SUMIF('AvsC_M6'!$B$4:$B$100,B11,'AvsC_M6'!$G$4:$G$100)+SUMIF('BvsD_M1'!$B$4:$B$100,B11,'BvsD_M1'!$G$4:$G$100)+SUMIF('BvsD_M2'!$B$4:$B$100,B11,'BvsD_M2'!$G$4:$G$100)+SUMIF('BvsD_M3'!$B$4:$B$100,B11,'BvsD_M3'!$G$4:$G$100)+SUMIF('BvsD_M4'!$B$4:$B$100,B11,'BvsD_M4'!$G$4:$G$100)+SUMIF('BvsD_M5'!$B$4:$B$100,B11,'BvsD_M5'!$G$4:$G$100)+SUMIF('BvsD_M6'!$B$4:$B$100,B11,'BvsD_M6'!$G$4:$G$100)+SUMIF('AvsD_M1'!$B$4:$B$100,B11,'AvsD_M1'!$G$4:$G$100)+SUMIF('AvsD_M2'!$B$4:$B$100,B11,'AvsD_M2'!$G$4:$G$100)+SUMIF('AvsD_M3'!$B$4:$B$100,B11,'AvsD_M3'!$G$4:$G$100)+SUMIF('AvsD_M4'!$B$4:$B$100,B11,'AvsD_M4'!$G$4:$G$100)+SUMIF('AvsD_M5'!$B$4:$B$100,B11,'AvsD_M5'!$G$4:$G$100)+SUMIF('AvsD_M6'!$B$4:$B$100,B11,'AvsD_M6'!$G$4:$G$100)+SUMIF('BvsC_M1'!$B$4:$B$100,B11,'BvsC_M1'!$G$4:$G$100)+SUMIF('BvsC_M2'!$B$4:$B$100,B11,'BvsC_M2'!$G$4:$G$100)+SUMIF('BvsC_M3'!$B$4:$B$100,B11,'BvsC_M3'!$G$4:$G$100)+SUMIF('BvsC_M4'!$B$4:$B$100,B11,'BvsC_M4'!$G$4:$G$100)+SUMIF('BvsC_M5'!$B$4:$B$100,B11,'BvsC_M5'!$G$4:$G$100)+SUMIF('BvsC_M6'!$B$4:$B$100,B11,'BvsC_M6'!$G$4:$G$100)</f>
        <v/>
      </c>
      <c r="I11" s="32">
        <f>SUMIF('AvsB_M1'!$B$4:$B$100,B11,'AvsB_M1'!$H$4:$H$100)+SUMIF('AvsB_M2'!$B$4:$B$100,B11,'AvsB_M2'!$H$4:$H$100)+SUMIF('AvsB_M3'!$B$4:$B$100,B11,'AvsB_M3'!$H$4:$H$100)+SUMIF('AvsB_M4'!$B$4:$B$100,B11,'AvsB_M4'!$H$4:$H$100)+SUMIF('AvsB_M5'!$B$4:$B$100,B11,'AvsB_M5'!$H$4:$H$100)+SUMIF('AvsB_M6'!$B$4:$B$100,B11,'AvsB_M6'!$H$4:$H$100)+SUMIF('CvsD_M1'!$B$4:$B$100,B11,'CvsD_M1'!$H$4:$H$100)+SUMIF('CvsD_M2'!$B$4:$B$100,B11,'CvsD_M2'!$H$4:$H$100)+SUMIF('CvsD_M3'!$B$4:$B$100,B11,'CvsD_M3'!$H$4:$H$100)+SUMIF('CvsD_M4'!$B$4:$B$100,B11,'CvsD_M4'!$H$4:$H$100)+SUMIF('CvsD_M5'!$B$4:$B$100,B11,'CvsD_M5'!$H$4:$H$100)+SUMIF('CvsD_M6'!$B$4:$B$100,B11,'CvsD_M6'!$H$4:$H$100)+SUMIF('AvsC_M1'!$B$4:$B$100,B11,'AvsC_M1'!$H$4:$H$100)+SUMIF('AvsC_M2'!$B$4:$B$100,B11,'AvsC_M2'!$H$4:$H$100)+SUMIF('AvsC_M3'!$B$4:$B$100,B11,'AvsC_M3'!$H$4:$H$100)+SUMIF('AvsC_M4'!$B$4:$B$100,B11,'AvsC_M4'!$H$4:$H$100)+SUMIF('AvsC_M5'!$B$4:$B$100,B11,'AvsC_M5'!$H$4:$H$100)+SUMIF('AvsC_M6'!$B$4:$B$100,B11,'AvsC_M6'!$H$4:$H$100)+SUMIF('BvsD_M1'!$B$4:$B$100,B11,'BvsD_M1'!$H$4:$H$100)+SUMIF('BvsD_M2'!$B$4:$B$100,B11,'BvsD_M2'!$H$4:$H$100)+SUMIF('BvsD_M3'!$B$4:$B$100,B11,'BvsD_M3'!$H$4:$H$100)+SUMIF('BvsD_M4'!$B$4:$B$100,B11,'BvsD_M4'!$H$4:$H$100)+SUMIF('BvsD_M5'!$B$4:$B$100,B11,'BvsD_M5'!$H$4:$H$100)+SUMIF('BvsD_M6'!$B$4:$B$100,B11,'BvsD_M6'!$H$4:$H$100)+SUMIF('AvsD_M1'!$B$4:$B$100,B11,'AvsD_M1'!$H$4:$H$100)+SUMIF('AvsD_M2'!$B$4:$B$100,B11,'AvsD_M2'!$H$4:$H$100)+SUMIF('AvsD_M3'!$B$4:$B$100,B11,'AvsD_M3'!$H$4:$H$100)+SUMIF('AvsD_M4'!$B$4:$B$100,B11,'AvsD_M4'!$H$4:$H$100)+SUMIF('AvsD_M5'!$B$4:$B$100,B11,'AvsD_M5'!$H$4:$H$100)+SUMIF('AvsD_M6'!$B$4:$B$100,B11,'AvsD_M6'!$H$4:$H$100)+SUMIF('BvsC_M1'!$B$4:$B$100,B11,'BvsC_M1'!$H$4:$H$100)+SUMIF('BvsC_M2'!$B$4:$B$100,B11,'BvsC_M2'!$H$4:$H$100)+SUMIF('BvsC_M3'!$B$4:$B$100,B11,'BvsC_M3'!$H$4:$H$100)+SUMIF('BvsC_M4'!$B$4:$B$100,B11,'BvsC_M4'!$H$4:$H$100)+SUMIF('BvsC_M5'!$B$4:$B$100,B11,'BvsC_M5'!$H$4:$H$100)+SUMIF('BvsC_M6'!$B$4:$B$100,B11,'BvsC_M6'!$H$4:$H$100)</f>
        <v/>
      </c>
      <c r="J11" s="32">
        <f>SUMIF('AvsB_M1'!$B$4:$B$100,B11,'AvsB_M1'!$I$4:$I$100)+SUMIF('AvsB_M2'!$B$4:$B$100,B11,'AvsB_M2'!$I$4:$I$100)+SUMIF('AvsB_M3'!$B$4:$B$100,B11,'AvsB_M3'!$I$4:$I$100)+SUMIF('AvsB_M4'!$B$4:$B$100,B11,'AvsB_M4'!$I$4:$I$100)+SUMIF('AvsB_M5'!$B$4:$B$100,B11,'AvsB_M5'!$I$4:$I$100)+SUMIF('AvsB_M6'!$B$4:$B$100,B11,'AvsB_M6'!$I$4:$I$100)+SUMIF('CvsD_M1'!$B$4:$B$100,B11,'CvsD_M1'!$I$4:$I$100)+SUMIF('CvsD_M2'!$B$4:$B$100,B11,'CvsD_M2'!$I$4:$I$100)+SUMIF('CvsD_M3'!$B$4:$B$100,B11,'CvsD_M3'!$I$4:$I$100)+SUMIF('CvsD_M4'!$B$4:$B$100,B11,'CvsD_M4'!$I$4:$I$100)+SUMIF('CvsD_M5'!$B$4:$B$100,B11,'CvsD_M5'!$I$4:$I$100)+SUMIF('CvsD_M6'!$B$4:$B$100,B11,'CvsD_M6'!$I$4:$I$100)+SUMIF('AvsC_M1'!$B$4:$B$100,B11,'AvsC_M1'!$I$4:$I$100)+SUMIF('AvsC_M2'!$B$4:$B$100,B11,'AvsC_M2'!$I$4:$I$100)+SUMIF('AvsC_M3'!$B$4:$B$100,B11,'AvsC_M3'!$I$4:$I$100)+SUMIF('AvsC_M4'!$B$4:$B$100,B11,'AvsC_M4'!$I$4:$I$100)+SUMIF('AvsC_M5'!$B$4:$B$100,B11,'AvsC_M5'!$I$4:$I$100)+SUMIF('AvsC_M6'!$B$4:$B$100,B11,'AvsC_M6'!$I$4:$I$100)+SUMIF('BvsD_M1'!$B$4:$B$100,B11,'BvsD_M1'!$I$4:$I$100)+SUMIF('BvsD_M2'!$B$4:$B$100,B11,'BvsD_M2'!$I$4:$I$100)+SUMIF('BvsD_M3'!$B$4:$B$100,B11,'BvsD_M3'!$I$4:$I$100)+SUMIF('BvsD_M4'!$B$4:$B$100,B11,'BvsD_M4'!$I$4:$I$100)+SUMIF('BvsD_M5'!$B$4:$B$100,B11,'BvsD_M5'!$I$4:$I$100)+SUMIF('BvsD_M6'!$B$4:$B$100,B11,'BvsD_M6'!$I$4:$I$100)+SUMIF('AvsD_M1'!$B$4:$B$100,B11,'AvsD_M1'!$I$4:$I$100)+SUMIF('AvsD_M2'!$B$4:$B$100,B11,'AvsD_M2'!$I$4:$I$100)+SUMIF('AvsD_M3'!$B$4:$B$100,B11,'AvsD_M3'!$I$4:$I$100)+SUMIF('AvsD_M4'!$B$4:$B$100,B11,'AvsD_M4'!$I$4:$I$100)+SUMIF('AvsD_M5'!$B$4:$B$100,B11,'AvsD_M5'!$I$4:$I$100)+SUMIF('AvsD_M6'!$B$4:$B$100,B11,'AvsD_M6'!$I$4:$I$100)+SUMIF('BvsC_M1'!$B$4:$B$100,B11,'BvsC_M1'!$I$4:$I$100)+SUMIF('BvsC_M2'!$B$4:$B$100,B11,'BvsC_M2'!$I$4:$I$100)+SUMIF('BvsC_M3'!$B$4:$B$100,B11,'BvsC_M3'!$I$4:$I$100)+SUMIF('BvsC_M4'!$B$4:$B$100,B11,'BvsC_M4'!$I$4:$I$100)+SUMIF('BvsC_M5'!$B$4:$B$100,B11,'BvsC_M5'!$I$4:$I$100)+SUMIF('BvsC_M6'!$B$4:$B$100,B11,'BvsC_M6'!$I$4:$I$100)</f>
        <v/>
      </c>
    </row>
    <row r="12">
      <c r="A12" s="32" t="n">
        <v>9</v>
      </c>
      <c r="B12" s="32" t="inlineStr">
        <is>
          <t>RAKUZAN</t>
        </is>
      </c>
      <c r="C12" s="32">
        <f>COUNTIF('AvsB_M1'!$B$4:$B$100,B12)+COUNTIF('AvsB_M2'!$B$4:$B$100,B12)+COUNTIF('AvsB_M3'!$B$4:$B$100,B12)+COUNTIF('AvsB_M4'!$B$4:$B$100,B12)+COUNTIF('AvsB_M5'!$B$4:$B$100,B12)+COUNTIF('AvsB_M6'!$B$4:$B$100,B12)+COUNTIF('CvsD_M1'!$B$4:$B$100,B12)+COUNTIF('CvsD_M2'!$B$4:$B$100,B12)+COUNTIF('CvsD_M3'!$B$4:$B$100,B12)+COUNTIF('CvsD_M4'!$B$4:$B$100,B12)+COUNTIF('CvsD_M5'!$B$4:$B$100,B12)+COUNTIF('CvsD_M6'!$B$4:$B$100,B12)+COUNTIF('AvsC_M1'!$B$4:$B$100,B12)+COUNTIF('AvsC_M2'!$B$4:$B$100,B12)+COUNTIF('AvsC_M3'!$B$4:$B$100,B12)+COUNTIF('AvsC_M4'!$B$4:$B$100,B12)+COUNTIF('AvsC_M5'!$B$4:$B$100,B12)+COUNTIF('AvsC_M6'!$B$4:$B$100,B12)+COUNTIF('BvsD_M1'!$B$4:$B$100,B12)+COUNTIF('BvsD_M2'!$B$4:$B$100,B12)+COUNTIF('BvsD_M3'!$B$4:$B$100,B12)+COUNTIF('BvsD_M4'!$B$4:$B$100,B12)+COUNTIF('BvsD_M5'!$B$4:$B$100,B12)+COUNTIF('BvsD_M6'!$B$4:$B$100,B12)+COUNTIF('AvsD_M1'!$B$4:$B$100,B12)+COUNTIF('AvsD_M2'!$B$4:$B$100,B12)+COUNTIF('AvsD_M3'!$B$4:$B$100,B12)+COUNTIF('AvsD_M4'!$B$4:$B$100,B12)+COUNTIF('AvsD_M5'!$B$4:$B$100,B12)+COUNTIF('AvsD_M6'!$B$4:$B$100,B12)+COUNTIF('BvsC_M1'!$B$4:$B$100,B12)+COUNTIF('BvsC_M2'!$B$4:$B$100,B12)+COUNTIF('BvsC_M3'!$B$4:$B$100,B12)+COUNTIF('BvsC_M4'!$B$4:$B$100,B12)+COUNTIF('BvsC_M5'!$B$4:$B$100,B12)+COUNTIF('BvsC_M6'!$B$4:$B$100,B12)</f>
        <v/>
      </c>
      <c r="D12" s="32">
        <f>SUMIF('AvsB_M1'!$B$4:$B$100,B12,'AvsB_M1'!$C$4:$C$100)+SUMIF('AvsB_M2'!$B$4:$B$100,B12,'AvsB_M2'!$C$4:$C$100)+SUMIF('AvsB_M3'!$B$4:$B$100,B12,'AvsB_M3'!$C$4:$C$100)+SUMIF('AvsB_M4'!$B$4:$B$100,B12,'AvsB_M4'!$C$4:$C$100)+SUMIF('AvsB_M5'!$B$4:$B$100,B12,'AvsB_M5'!$C$4:$C$100)+SUMIF('AvsB_M6'!$B$4:$B$100,B12,'AvsB_M6'!$C$4:$C$100)+SUMIF('CvsD_M1'!$B$4:$B$100,B12,'CvsD_M1'!$C$4:$C$100)+SUMIF('CvsD_M2'!$B$4:$B$100,B12,'CvsD_M2'!$C$4:$C$100)+SUMIF('CvsD_M3'!$B$4:$B$100,B12,'CvsD_M3'!$C$4:$C$100)+SUMIF('CvsD_M4'!$B$4:$B$100,B12,'CvsD_M4'!$C$4:$C$100)+SUMIF('CvsD_M5'!$B$4:$B$100,B12,'CvsD_M5'!$C$4:$C$100)+SUMIF('CvsD_M6'!$B$4:$B$100,B12,'CvsD_M6'!$C$4:$C$100)+SUMIF('AvsC_M1'!$B$4:$B$100,B12,'AvsC_M1'!$C$4:$C$100)+SUMIF('AvsC_M2'!$B$4:$B$100,B12,'AvsC_M2'!$C$4:$C$100)+SUMIF('AvsC_M3'!$B$4:$B$100,B12,'AvsC_M3'!$C$4:$C$100)+SUMIF('AvsC_M4'!$B$4:$B$100,B12,'AvsC_M4'!$C$4:$C$100)+SUMIF('AvsC_M5'!$B$4:$B$100,B12,'AvsC_M5'!$C$4:$C$100)+SUMIF('AvsC_M6'!$B$4:$B$100,B12,'AvsC_M6'!$C$4:$C$100)+SUMIF('BvsD_M1'!$B$4:$B$100,B12,'BvsD_M1'!$C$4:$C$100)+SUMIF('BvsD_M2'!$B$4:$B$100,B12,'BvsD_M2'!$C$4:$C$100)+SUMIF('BvsD_M3'!$B$4:$B$100,B12,'BvsD_M3'!$C$4:$C$100)+SUMIF('BvsD_M4'!$B$4:$B$100,B12,'BvsD_M4'!$C$4:$C$100)+SUMIF('BvsD_M5'!$B$4:$B$100,B12,'BvsD_M5'!$C$4:$C$100)+SUMIF('BvsD_M6'!$B$4:$B$100,B12,'BvsD_M6'!$C$4:$C$100)+SUMIF('AvsD_M1'!$B$4:$B$100,B12,'AvsD_M1'!$C$4:$C$100)+SUMIF('AvsD_M2'!$B$4:$B$100,B12,'AvsD_M2'!$C$4:$C$100)+SUMIF('AvsD_M3'!$B$4:$B$100,B12,'AvsD_M3'!$C$4:$C$100)+SUMIF('AvsD_M4'!$B$4:$B$100,B12,'AvsD_M4'!$C$4:$C$100)+SUMIF('AvsD_M5'!$B$4:$B$100,B12,'AvsD_M5'!$C$4:$C$100)+SUMIF('AvsD_M6'!$B$4:$B$100,B12,'AvsD_M6'!$C$4:$C$100)+SUMIF('BvsC_M1'!$B$4:$B$100,B12,'BvsC_M1'!$C$4:$C$100)+SUMIF('BvsC_M2'!$B$4:$B$100,B12,'BvsC_M2'!$C$4:$C$100)+SUMIF('BvsC_M3'!$B$4:$B$100,B12,'BvsC_M3'!$C$4:$C$100)+SUMIF('BvsC_M4'!$B$4:$B$100,B12,'BvsC_M4'!$C$4:$C$100)+SUMIF('BvsC_M5'!$B$4:$B$100,B12,'BvsC_M5'!$C$4:$C$100)+SUMIF('BvsC_M6'!$B$4:$B$100,B12,'BvsC_M6'!$C$4:$C$100)</f>
        <v/>
      </c>
      <c r="E12" s="32">
        <f>SUMIF('AvsB_M1'!$B$4:$B$100,B12,'AvsB_M1'!$D$4:$D$100)+SUMIF('AvsB_M2'!$B$4:$B$100,B12,'AvsB_M2'!$D$4:$D$100)+SUMIF('AvsB_M3'!$B$4:$B$100,B12,'AvsB_M3'!$D$4:$D$100)+SUMIF('AvsB_M4'!$B$4:$B$100,B12,'AvsB_M4'!$D$4:$D$100)+SUMIF('AvsB_M5'!$B$4:$B$100,B12,'AvsB_M5'!$D$4:$D$100)+SUMIF('AvsB_M6'!$B$4:$B$100,B12,'AvsB_M6'!$D$4:$D$100)+SUMIF('CvsD_M1'!$B$4:$B$100,B12,'CvsD_M1'!$D$4:$D$100)+SUMIF('CvsD_M2'!$B$4:$B$100,B12,'CvsD_M2'!$D$4:$D$100)+SUMIF('CvsD_M3'!$B$4:$B$100,B12,'CvsD_M3'!$D$4:$D$100)+SUMIF('CvsD_M4'!$B$4:$B$100,B12,'CvsD_M4'!$D$4:$D$100)+SUMIF('CvsD_M5'!$B$4:$B$100,B12,'CvsD_M5'!$D$4:$D$100)+SUMIF('CvsD_M6'!$B$4:$B$100,B12,'CvsD_M6'!$D$4:$D$100)+SUMIF('AvsC_M1'!$B$4:$B$100,B12,'AvsC_M1'!$D$4:$D$100)+SUMIF('AvsC_M2'!$B$4:$B$100,B12,'AvsC_M2'!$D$4:$D$100)+SUMIF('AvsC_M3'!$B$4:$B$100,B12,'AvsC_M3'!$D$4:$D$100)+SUMIF('AvsC_M4'!$B$4:$B$100,B12,'AvsC_M4'!$D$4:$D$100)+SUMIF('AvsC_M5'!$B$4:$B$100,B12,'AvsC_M5'!$D$4:$D$100)+SUMIF('AvsC_M6'!$B$4:$B$100,B12,'AvsC_M6'!$D$4:$D$100)+SUMIF('BvsD_M1'!$B$4:$B$100,B12,'BvsD_M1'!$D$4:$D$100)+SUMIF('BvsD_M2'!$B$4:$B$100,B12,'BvsD_M2'!$D$4:$D$100)+SUMIF('BvsD_M3'!$B$4:$B$100,B12,'BvsD_M3'!$D$4:$D$100)+SUMIF('BvsD_M4'!$B$4:$B$100,B12,'BvsD_M4'!$D$4:$D$100)+SUMIF('BvsD_M5'!$B$4:$B$100,B12,'BvsD_M5'!$D$4:$D$100)+SUMIF('BvsD_M6'!$B$4:$B$100,B12,'BvsD_M6'!$D$4:$D$100)+SUMIF('AvsD_M1'!$B$4:$B$100,B12,'AvsD_M1'!$D$4:$D$100)+SUMIF('AvsD_M2'!$B$4:$B$100,B12,'AvsD_M2'!$D$4:$D$100)+SUMIF('AvsD_M3'!$B$4:$B$100,B12,'AvsD_M3'!$D$4:$D$100)+SUMIF('AvsD_M4'!$B$4:$B$100,B12,'AvsD_M4'!$D$4:$D$100)+SUMIF('AvsD_M5'!$B$4:$B$100,B12,'AvsD_M5'!$D$4:$D$100)+SUMIF('AvsD_M6'!$B$4:$B$100,B12,'AvsD_M6'!$D$4:$D$100)+SUMIF('BvsC_M1'!$B$4:$B$100,B12,'BvsC_M1'!$D$4:$D$100)+SUMIF('BvsC_M2'!$B$4:$B$100,B12,'BvsC_M2'!$D$4:$D$100)+SUMIF('BvsC_M3'!$B$4:$B$100,B12,'BvsC_M3'!$D$4:$D$100)+SUMIF('BvsC_M4'!$B$4:$B$100,B12,'BvsC_M4'!$D$4:$D$100)+SUMIF('BvsC_M5'!$B$4:$B$100,B12,'BvsC_M5'!$D$4:$D$100)+SUMIF('BvsC_M6'!$B$4:$B$100,B12,'BvsC_M6'!$D$4:$D$100)</f>
        <v/>
      </c>
      <c r="F12" s="32">
        <f>SUMIF('AvsB_M1'!$B$4:$B$100,B12,'AvsB_M1'!$E$4:$E$100)+SUMIF('AvsB_M2'!$B$4:$B$100,B12,'AvsB_M2'!$E$4:$E$100)+SUMIF('AvsB_M3'!$B$4:$B$100,B12,'AvsB_M3'!$E$4:$E$100)+SUMIF('AvsB_M4'!$B$4:$B$100,B12,'AvsB_M4'!$E$4:$E$100)+SUMIF('AvsB_M5'!$B$4:$B$100,B12,'AvsB_M5'!$E$4:$E$100)+SUMIF('AvsB_M6'!$B$4:$B$100,B12,'AvsB_M6'!$E$4:$E$100)+SUMIF('CvsD_M1'!$B$4:$B$100,B12,'CvsD_M1'!$E$4:$E$100)+SUMIF('CvsD_M2'!$B$4:$B$100,B12,'CvsD_M2'!$E$4:$E$100)+SUMIF('CvsD_M3'!$B$4:$B$100,B12,'CvsD_M3'!$E$4:$E$100)+SUMIF('CvsD_M4'!$B$4:$B$100,B12,'CvsD_M4'!$E$4:$E$100)+SUMIF('CvsD_M5'!$B$4:$B$100,B12,'CvsD_M5'!$E$4:$E$100)+SUMIF('CvsD_M6'!$B$4:$B$100,B12,'CvsD_M6'!$E$4:$E$100)+SUMIF('AvsC_M1'!$B$4:$B$100,B12,'AvsC_M1'!$E$4:$E$100)+SUMIF('AvsC_M2'!$B$4:$B$100,B12,'AvsC_M2'!$E$4:$E$100)+SUMIF('AvsC_M3'!$B$4:$B$100,B12,'AvsC_M3'!$E$4:$E$100)+SUMIF('AvsC_M4'!$B$4:$B$100,B12,'AvsC_M4'!$E$4:$E$100)+SUMIF('AvsC_M5'!$B$4:$B$100,B12,'AvsC_M5'!$E$4:$E$100)+SUMIF('AvsC_M6'!$B$4:$B$100,B12,'AvsC_M6'!$E$4:$E$100)+SUMIF('BvsD_M1'!$B$4:$B$100,B12,'BvsD_M1'!$E$4:$E$100)+SUMIF('BvsD_M2'!$B$4:$B$100,B12,'BvsD_M2'!$E$4:$E$100)+SUMIF('BvsD_M3'!$B$4:$B$100,B12,'BvsD_M3'!$E$4:$E$100)+SUMIF('BvsD_M4'!$B$4:$B$100,B12,'BvsD_M4'!$E$4:$E$100)+SUMIF('BvsD_M5'!$B$4:$B$100,B12,'BvsD_M5'!$E$4:$E$100)+SUMIF('BvsD_M6'!$B$4:$B$100,B12,'BvsD_M6'!$E$4:$E$100)+SUMIF('AvsD_M1'!$B$4:$B$100,B12,'AvsD_M1'!$E$4:$E$100)+SUMIF('AvsD_M2'!$B$4:$B$100,B12,'AvsD_M2'!$E$4:$E$100)+SUMIF('AvsD_M3'!$B$4:$B$100,B12,'AvsD_M3'!$E$4:$E$100)+SUMIF('AvsD_M4'!$B$4:$B$100,B12,'AvsD_M4'!$E$4:$E$100)+SUMIF('AvsD_M5'!$B$4:$B$100,B12,'AvsD_M5'!$E$4:$E$100)+SUMIF('AvsD_M6'!$B$4:$B$100,B12,'AvsD_M6'!$E$4:$E$100)+SUMIF('BvsC_M1'!$B$4:$B$100,B12,'BvsC_M1'!$E$4:$E$100)+SUMIF('BvsC_M2'!$B$4:$B$100,B12,'BvsC_M2'!$E$4:$E$100)+SUMIF('BvsC_M3'!$B$4:$B$100,B12,'BvsC_M3'!$E$4:$E$100)+SUMIF('BvsC_M4'!$B$4:$B$100,B12,'BvsC_M4'!$E$4:$E$100)+SUMIF('BvsC_M5'!$B$4:$B$100,B12,'BvsC_M5'!$E$4:$E$100)+SUMIF('BvsC_M6'!$B$4:$B$100,B12,'BvsC_M6'!$E$4:$E$100)</f>
        <v/>
      </c>
      <c r="G12" s="32">
        <f>SUMIF('AvsB_M1'!$B$4:$B$100,B12,'AvsB_M1'!$F$4:$F$100)+SUMIF('AvsB_M2'!$B$4:$B$100,B12,'AvsB_M2'!$F$4:$F$100)+SUMIF('AvsB_M3'!$B$4:$B$100,B12,'AvsB_M3'!$F$4:$F$100)+SUMIF('AvsB_M4'!$B$4:$B$100,B12,'AvsB_M4'!$F$4:$F$100)+SUMIF('AvsB_M5'!$B$4:$B$100,B12,'AvsB_M5'!$F$4:$F$100)+SUMIF('AvsB_M6'!$B$4:$B$100,B12,'AvsB_M6'!$F$4:$F$100)+SUMIF('CvsD_M1'!$B$4:$B$100,B12,'CvsD_M1'!$F$4:$F$100)+SUMIF('CvsD_M2'!$B$4:$B$100,B12,'CvsD_M2'!$F$4:$F$100)+SUMIF('CvsD_M3'!$B$4:$B$100,B12,'CvsD_M3'!$F$4:$F$100)+SUMIF('CvsD_M4'!$B$4:$B$100,B12,'CvsD_M4'!$F$4:$F$100)+SUMIF('CvsD_M5'!$B$4:$B$100,B12,'CvsD_M5'!$F$4:$F$100)+SUMIF('CvsD_M6'!$B$4:$B$100,B12,'CvsD_M6'!$F$4:$F$100)+SUMIF('AvsC_M1'!$B$4:$B$100,B12,'AvsC_M1'!$F$4:$F$100)+SUMIF('AvsC_M2'!$B$4:$B$100,B12,'AvsC_M2'!$F$4:$F$100)+SUMIF('AvsC_M3'!$B$4:$B$100,B12,'AvsC_M3'!$F$4:$F$100)+SUMIF('AvsC_M4'!$B$4:$B$100,B12,'AvsC_M4'!$F$4:$F$100)+SUMIF('AvsC_M5'!$B$4:$B$100,B12,'AvsC_M5'!$F$4:$F$100)+SUMIF('AvsC_M6'!$B$4:$B$100,B12,'AvsC_M6'!$F$4:$F$100)+SUMIF('BvsD_M1'!$B$4:$B$100,B12,'BvsD_M1'!$F$4:$F$100)+SUMIF('BvsD_M2'!$B$4:$B$100,B12,'BvsD_M2'!$F$4:$F$100)+SUMIF('BvsD_M3'!$B$4:$B$100,B12,'BvsD_M3'!$F$4:$F$100)+SUMIF('BvsD_M4'!$B$4:$B$100,B12,'BvsD_M4'!$F$4:$F$100)+SUMIF('BvsD_M5'!$B$4:$B$100,B12,'BvsD_M5'!$F$4:$F$100)+SUMIF('BvsD_M6'!$B$4:$B$100,B12,'BvsD_M6'!$F$4:$F$100)+SUMIF('AvsD_M1'!$B$4:$B$100,B12,'AvsD_M1'!$F$4:$F$100)+SUMIF('AvsD_M2'!$B$4:$B$100,B12,'AvsD_M2'!$F$4:$F$100)+SUMIF('AvsD_M3'!$B$4:$B$100,B12,'AvsD_M3'!$F$4:$F$100)+SUMIF('AvsD_M4'!$B$4:$B$100,B12,'AvsD_M4'!$F$4:$F$100)+SUMIF('AvsD_M5'!$B$4:$B$100,B12,'AvsD_M5'!$F$4:$F$100)+SUMIF('AvsD_M6'!$B$4:$B$100,B12,'AvsD_M6'!$F$4:$F$100)+SUMIF('BvsC_M1'!$B$4:$B$100,B12,'BvsC_M1'!$F$4:$F$100)+SUMIF('BvsC_M2'!$B$4:$B$100,B12,'BvsC_M2'!$F$4:$F$100)+SUMIF('BvsC_M3'!$B$4:$B$100,B12,'BvsC_M3'!$F$4:$F$100)+SUMIF('BvsC_M4'!$B$4:$B$100,B12,'BvsC_M4'!$F$4:$F$100)+SUMIF('BvsC_M5'!$B$4:$B$100,B12,'BvsC_M5'!$F$4:$F$100)+SUMIF('BvsC_M6'!$B$4:$B$100,B12,'BvsC_M6'!$F$4:$F$100)</f>
        <v/>
      </c>
      <c r="H12" s="32">
        <f>SUMIF('AvsB_M1'!$B$4:$B$100,B12,'AvsB_M1'!$G$4:$G$100)+SUMIF('AvsB_M2'!$B$4:$B$100,B12,'AvsB_M2'!$G$4:$G$100)+SUMIF('AvsB_M3'!$B$4:$B$100,B12,'AvsB_M3'!$G$4:$G$100)+SUMIF('AvsB_M4'!$B$4:$B$100,B12,'AvsB_M4'!$G$4:$G$100)+SUMIF('AvsB_M5'!$B$4:$B$100,B12,'AvsB_M5'!$G$4:$G$100)+SUMIF('AvsB_M6'!$B$4:$B$100,B12,'AvsB_M6'!$G$4:$G$100)+SUMIF('CvsD_M1'!$B$4:$B$100,B12,'CvsD_M1'!$G$4:$G$100)+SUMIF('CvsD_M2'!$B$4:$B$100,B12,'CvsD_M2'!$G$4:$G$100)+SUMIF('CvsD_M3'!$B$4:$B$100,B12,'CvsD_M3'!$G$4:$G$100)+SUMIF('CvsD_M4'!$B$4:$B$100,B12,'CvsD_M4'!$G$4:$G$100)+SUMIF('CvsD_M5'!$B$4:$B$100,B12,'CvsD_M5'!$G$4:$G$100)+SUMIF('CvsD_M6'!$B$4:$B$100,B12,'CvsD_M6'!$G$4:$G$100)+SUMIF('AvsC_M1'!$B$4:$B$100,B12,'AvsC_M1'!$G$4:$G$100)+SUMIF('AvsC_M2'!$B$4:$B$100,B12,'AvsC_M2'!$G$4:$G$100)+SUMIF('AvsC_M3'!$B$4:$B$100,B12,'AvsC_M3'!$G$4:$G$100)+SUMIF('AvsC_M4'!$B$4:$B$100,B12,'AvsC_M4'!$G$4:$G$100)+SUMIF('AvsC_M5'!$B$4:$B$100,B12,'AvsC_M5'!$G$4:$G$100)+SUMIF('AvsC_M6'!$B$4:$B$100,B12,'AvsC_M6'!$G$4:$G$100)+SUMIF('BvsD_M1'!$B$4:$B$100,B12,'BvsD_M1'!$G$4:$G$100)+SUMIF('BvsD_M2'!$B$4:$B$100,B12,'BvsD_M2'!$G$4:$G$100)+SUMIF('BvsD_M3'!$B$4:$B$100,B12,'BvsD_M3'!$G$4:$G$100)+SUMIF('BvsD_M4'!$B$4:$B$100,B12,'BvsD_M4'!$G$4:$G$100)+SUMIF('BvsD_M5'!$B$4:$B$100,B12,'BvsD_M5'!$G$4:$G$100)+SUMIF('BvsD_M6'!$B$4:$B$100,B12,'BvsD_M6'!$G$4:$G$100)+SUMIF('AvsD_M1'!$B$4:$B$100,B12,'AvsD_M1'!$G$4:$G$100)+SUMIF('AvsD_M2'!$B$4:$B$100,B12,'AvsD_M2'!$G$4:$G$100)+SUMIF('AvsD_M3'!$B$4:$B$100,B12,'AvsD_M3'!$G$4:$G$100)+SUMIF('AvsD_M4'!$B$4:$B$100,B12,'AvsD_M4'!$G$4:$G$100)+SUMIF('AvsD_M5'!$B$4:$B$100,B12,'AvsD_M5'!$G$4:$G$100)+SUMIF('AvsD_M6'!$B$4:$B$100,B12,'AvsD_M6'!$G$4:$G$100)+SUMIF('BvsC_M1'!$B$4:$B$100,B12,'BvsC_M1'!$G$4:$G$100)+SUMIF('BvsC_M2'!$B$4:$B$100,B12,'BvsC_M2'!$G$4:$G$100)+SUMIF('BvsC_M3'!$B$4:$B$100,B12,'BvsC_M3'!$G$4:$G$100)+SUMIF('BvsC_M4'!$B$4:$B$100,B12,'BvsC_M4'!$G$4:$G$100)+SUMIF('BvsC_M5'!$B$4:$B$100,B12,'BvsC_M5'!$G$4:$G$100)+SUMIF('BvsC_M6'!$B$4:$B$100,B12,'BvsC_M6'!$G$4:$G$100)</f>
        <v/>
      </c>
      <c r="I12" s="32">
        <f>SUMIF('AvsB_M1'!$B$4:$B$100,B12,'AvsB_M1'!$H$4:$H$100)+SUMIF('AvsB_M2'!$B$4:$B$100,B12,'AvsB_M2'!$H$4:$H$100)+SUMIF('AvsB_M3'!$B$4:$B$100,B12,'AvsB_M3'!$H$4:$H$100)+SUMIF('AvsB_M4'!$B$4:$B$100,B12,'AvsB_M4'!$H$4:$H$100)+SUMIF('AvsB_M5'!$B$4:$B$100,B12,'AvsB_M5'!$H$4:$H$100)+SUMIF('AvsB_M6'!$B$4:$B$100,B12,'AvsB_M6'!$H$4:$H$100)+SUMIF('CvsD_M1'!$B$4:$B$100,B12,'CvsD_M1'!$H$4:$H$100)+SUMIF('CvsD_M2'!$B$4:$B$100,B12,'CvsD_M2'!$H$4:$H$100)+SUMIF('CvsD_M3'!$B$4:$B$100,B12,'CvsD_M3'!$H$4:$H$100)+SUMIF('CvsD_M4'!$B$4:$B$100,B12,'CvsD_M4'!$H$4:$H$100)+SUMIF('CvsD_M5'!$B$4:$B$100,B12,'CvsD_M5'!$H$4:$H$100)+SUMIF('CvsD_M6'!$B$4:$B$100,B12,'CvsD_M6'!$H$4:$H$100)+SUMIF('AvsC_M1'!$B$4:$B$100,B12,'AvsC_M1'!$H$4:$H$100)+SUMIF('AvsC_M2'!$B$4:$B$100,B12,'AvsC_M2'!$H$4:$H$100)+SUMIF('AvsC_M3'!$B$4:$B$100,B12,'AvsC_M3'!$H$4:$H$100)+SUMIF('AvsC_M4'!$B$4:$B$100,B12,'AvsC_M4'!$H$4:$H$100)+SUMIF('AvsC_M5'!$B$4:$B$100,B12,'AvsC_M5'!$H$4:$H$100)+SUMIF('AvsC_M6'!$B$4:$B$100,B12,'AvsC_M6'!$H$4:$H$100)+SUMIF('BvsD_M1'!$B$4:$B$100,B12,'BvsD_M1'!$H$4:$H$100)+SUMIF('BvsD_M2'!$B$4:$B$100,B12,'BvsD_M2'!$H$4:$H$100)+SUMIF('BvsD_M3'!$B$4:$B$100,B12,'BvsD_M3'!$H$4:$H$100)+SUMIF('BvsD_M4'!$B$4:$B$100,B12,'BvsD_M4'!$H$4:$H$100)+SUMIF('BvsD_M5'!$B$4:$B$100,B12,'BvsD_M5'!$H$4:$H$100)+SUMIF('BvsD_M6'!$B$4:$B$100,B12,'BvsD_M6'!$H$4:$H$100)+SUMIF('AvsD_M1'!$B$4:$B$100,B12,'AvsD_M1'!$H$4:$H$100)+SUMIF('AvsD_M2'!$B$4:$B$100,B12,'AvsD_M2'!$H$4:$H$100)+SUMIF('AvsD_M3'!$B$4:$B$100,B12,'AvsD_M3'!$H$4:$H$100)+SUMIF('AvsD_M4'!$B$4:$B$100,B12,'AvsD_M4'!$H$4:$H$100)+SUMIF('AvsD_M5'!$B$4:$B$100,B12,'AvsD_M5'!$H$4:$H$100)+SUMIF('AvsD_M6'!$B$4:$B$100,B12,'AvsD_M6'!$H$4:$H$100)+SUMIF('BvsC_M1'!$B$4:$B$100,B12,'BvsC_M1'!$H$4:$H$100)+SUMIF('BvsC_M2'!$B$4:$B$100,B12,'BvsC_M2'!$H$4:$H$100)+SUMIF('BvsC_M3'!$B$4:$B$100,B12,'BvsC_M3'!$H$4:$H$100)+SUMIF('BvsC_M4'!$B$4:$B$100,B12,'BvsC_M4'!$H$4:$H$100)+SUMIF('BvsC_M5'!$B$4:$B$100,B12,'BvsC_M5'!$H$4:$H$100)+SUMIF('BvsC_M6'!$B$4:$B$100,B12,'BvsC_M6'!$H$4:$H$100)</f>
        <v/>
      </c>
      <c r="J12" s="32">
        <f>SUMIF('AvsB_M1'!$B$4:$B$100,B12,'AvsB_M1'!$I$4:$I$100)+SUMIF('AvsB_M2'!$B$4:$B$100,B12,'AvsB_M2'!$I$4:$I$100)+SUMIF('AvsB_M3'!$B$4:$B$100,B12,'AvsB_M3'!$I$4:$I$100)+SUMIF('AvsB_M4'!$B$4:$B$100,B12,'AvsB_M4'!$I$4:$I$100)+SUMIF('AvsB_M5'!$B$4:$B$100,B12,'AvsB_M5'!$I$4:$I$100)+SUMIF('AvsB_M6'!$B$4:$B$100,B12,'AvsB_M6'!$I$4:$I$100)+SUMIF('CvsD_M1'!$B$4:$B$100,B12,'CvsD_M1'!$I$4:$I$100)+SUMIF('CvsD_M2'!$B$4:$B$100,B12,'CvsD_M2'!$I$4:$I$100)+SUMIF('CvsD_M3'!$B$4:$B$100,B12,'CvsD_M3'!$I$4:$I$100)+SUMIF('CvsD_M4'!$B$4:$B$100,B12,'CvsD_M4'!$I$4:$I$100)+SUMIF('CvsD_M5'!$B$4:$B$100,B12,'CvsD_M5'!$I$4:$I$100)+SUMIF('CvsD_M6'!$B$4:$B$100,B12,'CvsD_M6'!$I$4:$I$100)+SUMIF('AvsC_M1'!$B$4:$B$100,B12,'AvsC_M1'!$I$4:$I$100)+SUMIF('AvsC_M2'!$B$4:$B$100,B12,'AvsC_M2'!$I$4:$I$100)+SUMIF('AvsC_M3'!$B$4:$B$100,B12,'AvsC_M3'!$I$4:$I$100)+SUMIF('AvsC_M4'!$B$4:$B$100,B12,'AvsC_M4'!$I$4:$I$100)+SUMIF('AvsC_M5'!$B$4:$B$100,B12,'AvsC_M5'!$I$4:$I$100)+SUMIF('AvsC_M6'!$B$4:$B$100,B12,'AvsC_M6'!$I$4:$I$100)+SUMIF('BvsD_M1'!$B$4:$B$100,B12,'BvsD_M1'!$I$4:$I$100)+SUMIF('BvsD_M2'!$B$4:$B$100,B12,'BvsD_M2'!$I$4:$I$100)+SUMIF('BvsD_M3'!$B$4:$B$100,B12,'BvsD_M3'!$I$4:$I$100)+SUMIF('BvsD_M4'!$B$4:$B$100,B12,'BvsD_M4'!$I$4:$I$100)+SUMIF('BvsD_M5'!$B$4:$B$100,B12,'BvsD_M5'!$I$4:$I$100)+SUMIF('BvsD_M6'!$B$4:$B$100,B12,'BvsD_M6'!$I$4:$I$100)+SUMIF('AvsD_M1'!$B$4:$B$100,B12,'AvsD_M1'!$I$4:$I$100)+SUMIF('AvsD_M2'!$B$4:$B$100,B12,'AvsD_M2'!$I$4:$I$100)+SUMIF('AvsD_M3'!$B$4:$B$100,B12,'AvsD_M3'!$I$4:$I$100)+SUMIF('AvsD_M4'!$B$4:$B$100,B12,'AvsD_M4'!$I$4:$I$100)+SUMIF('AvsD_M5'!$B$4:$B$100,B12,'AvsD_M5'!$I$4:$I$100)+SUMIF('AvsD_M6'!$B$4:$B$100,B12,'AvsD_M6'!$I$4:$I$100)+SUMIF('BvsC_M1'!$B$4:$B$100,B12,'BvsC_M1'!$I$4:$I$100)+SUMIF('BvsC_M2'!$B$4:$B$100,B12,'BvsC_M2'!$I$4:$I$100)+SUMIF('BvsC_M3'!$B$4:$B$100,B12,'BvsC_M3'!$I$4:$I$100)+SUMIF('BvsC_M4'!$B$4:$B$100,B12,'BvsC_M4'!$I$4:$I$100)+SUMIF('BvsC_M5'!$B$4:$B$100,B12,'BvsC_M5'!$I$4:$I$100)+SUMIF('BvsC_M6'!$B$4:$B$100,B12,'BvsC_M6'!$I$4:$I$100)</f>
        <v/>
      </c>
    </row>
    <row r="13">
      <c r="A13" s="32" t="n">
        <v>10</v>
      </c>
      <c r="B13" s="32" t="inlineStr">
        <is>
          <t>SHONNANI'S</t>
        </is>
      </c>
      <c r="C13" s="32">
        <f>COUNTIF('AvsB_M1'!$B$4:$B$100,B13)+COUNTIF('AvsB_M2'!$B$4:$B$100,B13)+COUNTIF('AvsB_M3'!$B$4:$B$100,B13)+COUNTIF('AvsB_M4'!$B$4:$B$100,B13)+COUNTIF('AvsB_M5'!$B$4:$B$100,B13)+COUNTIF('AvsB_M6'!$B$4:$B$100,B13)+COUNTIF('CvsD_M1'!$B$4:$B$100,B13)+COUNTIF('CvsD_M2'!$B$4:$B$100,B13)+COUNTIF('CvsD_M3'!$B$4:$B$100,B13)+COUNTIF('CvsD_M4'!$B$4:$B$100,B13)+COUNTIF('CvsD_M5'!$B$4:$B$100,B13)+COUNTIF('CvsD_M6'!$B$4:$B$100,B13)+COUNTIF('AvsC_M1'!$B$4:$B$100,B13)+COUNTIF('AvsC_M2'!$B$4:$B$100,B13)+COUNTIF('AvsC_M3'!$B$4:$B$100,B13)+COUNTIF('AvsC_M4'!$B$4:$B$100,B13)+COUNTIF('AvsC_M5'!$B$4:$B$100,B13)+COUNTIF('AvsC_M6'!$B$4:$B$100,B13)+COUNTIF('BvsD_M1'!$B$4:$B$100,B13)+COUNTIF('BvsD_M2'!$B$4:$B$100,B13)+COUNTIF('BvsD_M3'!$B$4:$B$100,B13)+COUNTIF('BvsD_M4'!$B$4:$B$100,B13)+COUNTIF('BvsD_M5'!$B$4:$B$100,B13)+COUNTIF('BvsD_M6'!$B$4:$B$100,B13)+COUNTIF('AvsD_M1'!$B$4:$B$100,B13)+COUNTIF('AvsD_M2'!$B$4:$B$100,B13)+COUNTIF('AvsD_M3'!$B$4:$B$100,B13)+COUNTIF('AvsD_M4'!$B$4:$B$100,B13)+COUNTIF('AvsD_M5'!$B$4:$B$100,B13)+COUNTIF('AvsD_M6'!$B$4:$B$100,B13)+COUNTIF('BvsC_M1'!$B$4:$B$100,B13)+COUNTIF('BvsC_M2'!$B$4:$B$100,B13)+COUNTIF('BvsC_M3'!$B$4:$B$100,B13)+COUNTIF('BvsC_M4'!$B$4:$B$100,B13)+COUNTIF('BvsC_M5'!$B$4:$B$100,B13)+COUNTIF('BvsC_M6'!$B$4:$B$100,B13)</f>
        <v/>
      </c>
      <c r="D13" s="32">
        <f>SUMIF('AvsB_M1'!$B$4:$B$100,B13,'AvsB_M1'!$C$4:$C$100)+SUMIF('AvsB_M2'!$B$4:$B$100,B13,'AvsB_M2'!$C$4:$C$100)+SUMIF('AvsB_M3'!$B$4:$B$100,B13,'AvsB_M3'!$C$4:$C$100)+SUMIF('AvsB_M4'!$B$4:$B$100,B13,'AvsB_M4'!$C$4:$C$100)+SUMIF('AvsB_M5'!$B$4:$B$100,B13,'AvsB_M5'!$C$4:$C$100)+SUMIF('AvsB_M6'!$B$4:$B$100,B13,'AvsB_M6'!$C$4:$C$100)+SUMIF('CvsD_M1'!$B$4:$B$100,B13,'CvsD_M1'!$C$4:$C$100)+SUMIF('CvsD_M2'!$B$4:$B$100,B13,'CvsD_M2'!$C$4:$C$100)+SUMIF('CvsD_M3'!$B$4:$B$100,B13,'CvsD_M3'!$C$4:$C$100)+SUMIF('CvsD_M4'!$B$4:$B$100,B13,'CvsD_M4'!$C$4:$C$100)+SUMIF('CvsD_M5'!$B$4:$B$100,B13,'CvsD_M5'!$C$4:$C$100)+SUMIF('CvsD_M6'!$B$4:$B$100,B13,'CvsD_M6'!$C$4:$C$100)+SUMIF('AvsC_M1'!$B$4:$B$100,B13,'AvsC_M1'!$C$4:$C$100)+SUMIF('AvsC_M2'!$B$4:$B$100,B13,'AvsC_M2'!$C$4:$C$100)+SUMIF('AvsC_M3'!$B$4:$B$100,B13,'AvsC_M3'!$C$4:$C$100)+SUMIF('AvsC_M4'!$B$4:$B$100,B13,'AvsC_M4'!$C$4:$C$100)+SUMIF('AvsC_M5'!$B$4:$B$100,B13,'AvsC_M5'!$C$4:$C$100)+SUMIF('AvsC_M6'!$B$4:$B$100,B13,'AvsC_M6'!$C$4:$C$100)+SUMIF('BvsD_M1'!$B$4:$B$100,B13,'BvsD_M1'!$C$4:$C$100)+SUMIF('BvsD_M2'!$B$4:$B$100,B13,'BvsD_M2'!$C$4:$C$100)+SUMIF('BvsD_M3'!$B$4:$B$100,B13,'BvsD_M3'!$C$4:$C$100)+SUMIF('BvsD_M4'!$B$4:$B$100,B13,'BvsD_M4'!$C$4:$C$100)+SUMIF('BvsD_M5'!$B$4:$B$100,B13,'BvsD_M5'!$C$4:$C$100)+SUMIF('BvsD_M6'!$B$4:$B$100,B13,'BvsD_M6'!$C$4:$C$100)+SUMIF('AvsD_M1'!$B$4:$B$100,B13,'AvsD_M1'!$C$4:$C$100)+SUMIF('AvsD_M2'!$B$4:$B$100,B13,'AvsD_M2'!$C$4:$C$100)+SUMIF('AvsD_M3'!$B$4:$B$100,B13,'AvsD_M3'!$C$4:$C$100)+SUMIF('AvsD_M4'!$B$4:$B$100,B13,'AvsD_M4'!$C$4:$C$100)+SUMIF('AvsD_M5'!$B$4:$B$100,B13,'AvsD_M5'!$C$4:$C$100)+SUMIF('AvsD_M6'!$B$4:$B$100,B13,'AvsD_M6'!$C$4:$C$100)+SUMIF('BvsC_M1'!$B$4:$B$100,B13,'BvsC_M1'!$C$4:$C$100)+SUMIF('BvsC_M2'!$B$4:$B$100,B13,'BvsC_M2'!$C$4:$C$100)+SUMIF('BvsC_M3'!$B$4:$B$100,B13,'BvsC_M3'!$C$4:$C$100)+SUMIF('BvsC_M4'!$B$4:$B$100,B13,'BvsC_M4'!$C$4:$C$100)+SUMIF('BvsC_M5'!$B$4:$B$100,B13,'BvsC_M5'!$C$4:$C$100)+SUMIF('BvsC_M6'!$B$4:$B$100,B13,'BvsC_M6'!$C$4:$C$100)</f>
        <v/>
      </c>
      <c r="E13" s="32">
        <f>SUMIF('AvsB_M1'!$B$4:$B$100,B13,'AvsB_M1'!$D$4:$D$100)+SUMIF('AvsB_M2'!$B$4:$B$100,B13,'AvsB_M2'!$D$4:$D$100)+SUMIF('AvsB_M3'!$B$4:$B$100,B13,'AvsB_M3'!$D$4:$D$100)+SUMIF('AvsB_M4'!$B$4:$B$100,B13,'AvsB_M4'!$D$4:$D$100)+SUMIF('AvsB_M5'!$B$4:$B$100,B13,'AvsB_M5'!$D$4:$D$100)+SUMIF('AvsB_M6'!$B$4:$B$100,B13,'AvsB_M6'!$D$4:$D$100)+SUMIF('CvsD_M1'!$B$4:$B$100,B13,'CvsD_M1'!$D$4:$D$100)+SUMIF('CvsD_M2'!$B$4:$B$100,B13,'CvsD_M2'!$D$4:$D$100)+SUMIF('CvsD_M3'!$B$4:$B$100,B13,'CvsD_M3'!$D$4:$D$100)+SUMIF('CvsD_M4'!$B$4:$B$100,B13,'CvsD_M4'!$D$4:$D$100)+SUMIF('CvsD_M5'!$B$4:$B$100,B13,'CvsD_M5'!$D$4:$D$100)+SUMIF('CvsD_M6'!$B$4:$B$100,B13,'CvsD_M6'!$D$4:$D$100)+SUMIF('AvsC_M1'!$B$4:$B$100,B13,'AvsC_M1'!$D$4:$D$100)+SUMIF('AvsC_M2'!$B$4:$B$100,B13,'AvsC_M2'!$D$4:$D$100)+SUMIF('AvsC_M3'!$B$4:$B$100,B13,'AvsC_M3'!$D$4:$D$100)+SUMIF('AvsC_M4'!$B$4:$B$100,B13,'AvsC_M4'!$D$4:$D$100)+SUMIF('AvsC_M5'!$B$4:$B$100,B13,'AvsC_M5'!$D$4:$D$100)+SUMIF('AvsC_M6'!$B$4:$B$100,B13,'AvsC_M6'!$D$4:$D$100)+SUMIF('BvsD_M1'!$B$4:$B$100,B13,'BvsD_M1'!$D$4:$D$100)+SUMIF('BvsD_M2'!$B$4:$B$100,B13,'BvsD_M2'!$D$4:$D$100)+SUMIF('BvsD_M3'!$B$4:$B$100,B13,'BvsD_M3'!$D$4:$D$100)+SUMIF('BvsD_M4'!$B$4:$B$100,B13,'BvsD_M4'!$D$4:$D$100)+SUMIF('BvsD_M5'!$B$4:$B$100,B13,'BvsD_M5'!$D$4:$D$100)+SUMIF('BvsD_M6'!$B$4:$B$100,B13,'BvsD_M6'!$D$4:$D$100)+SUMIF('AvsD_M1'!$B$4:$B$100,B13,'AvsD_M1'!$D$4:$D$100)+SUMIF('AvsD_M2'!$B$4:$B$100,B13,'AvsD_M2'!$D$4:$D$100)+SUMIF('AvsD_M3'!$B$4:$B$100,B13,'AvsD_M3'!$D$4:$D$100)+SUMIF('AvsD_M4'!$B$4:$B$100,B13,'AvsD_M4'!$D$4:$D$100)+SUMIF('AvsD_M5'!$B$4:$B$100,B13,'AvsD_M5'!$D$4:$D$100)+SUMIF('AvsD_M6'!$B$4:$B$100,B13,'AvsD_M6'!$D$4:$D$100)+SUMIF('BvsC_M1'!$B$4:$B$100,B13,'BvsC_M1'!$D$4:$D$100)+SUMIF('BvsC_M2'!$B$4:$B$100,B13,'BvsC_M2'!$D$4:$D$100)+SUMIF('BvsC_M3'!$B$4:$B$100,B13,'BvsC_M3'!$D$4:$D$100)+SUMIF('BvsC_M4'!$B$4:$B$100,B13,'BvsC_M4'!$D$4:$D$100)+SUMIF('BvsC_M5'!$B$4:$B$100,B13,'BvsC_M5'!$D$4:$D$100)+SUMIF('BvsC_M6'!$B$4:$B$100,B13,'BvsC_M6'!$D$4:$D$100)</f>
        <v/>
      </c>
      <c r="F13" s="32">
        <f>SUMIF('AvsB_M1'!$B$4:$B$100,B13,'AvsB_M1'!$E$4:$E$100)+SUMIF('AvsB_M2'!$B$4:$B$100,B13,'AvsB_M2'!$E$4:$E$100)+SUMIF('AvsB_M3'!$B$4:$B$100,B13,'AvsB_M3'!$E$4:$E$100)+SUMIF('AvsB_M4'!$B$4:$B$100,B13,'AvsB_M4'!$E$4:$E$100)+SUMIF('AvsB_M5'!$B$4:$B$100,B13,'AvsB_M5'!$E$4:$E$100)+SUMIF('AvsB_M6'!$B$4:$B$100,B13,'AvsB_M6'!$E$4:$E$100)+SUMIF('CvsD_M1'!$B$4:$B$100,B13,'CvsD_M1'!$E$4:$E$100)+SUMIF('CvsD_M2'!$B$4:$B$100,B13,'CvsD_M2'!$E$4:$E$100)+SUMIF('CvsD_M3'!$B$4:$B$100,B13,'CvsD_M3'!$E$4:$E$100)+SUMIF('CvsD_M4'!$B$4:$B$100,B13,'CvsD_M4'!$E$4:$E$100)+SUMIF('CvsD_M5'!$B$4:$B$100,B13,'CvsD_M5'!$E$4:$E$100)+SUMIF('CvsD_M6'!$B$4:$B$100,B13,'CvsD_M6'!$E$4:$E$100)+SUMIF('AvsC_M1'!$B$4:$B$100,B13,'AvsC_M1'!$E$4:$E$100)+SUMIF('AvsC_M2'!$B$4:$B$100,B13,'AvsC_M2'!$E$4:$E$100)+SUMIF('AvsC_M3'!$B$4:$B$100,B13,'AvsC_M3'!$E$4:$E$100)+SUMIF('AvsC_M4'!$B$4:$B$100,B13,'AvsC_M4'!$E$4:$E$100)+SUMIF('AvsC_M5'!$B$4:$B$100,B13,'AvsC_M5'!$E$4:$E$100)+SUMIF('AvsC_M6'!$B$4:$B$100,B13,'AvsC_M6'!$E$4:$E$100)+SUMIF('BvsD_M1'!$B$4:$B$100,B13,'BvsD_M1'!$E$4:$E$100)+SUMIF('BvsD_M2'!$B$4:$B$100,B13,'BvsD_M2'!$E$4:$E$100)+SUMIF('BvsD_M3'!$B$4:$B$100,B13,'BvsD_M3'!$E$4:$E$100)+SUMIF('BvsD_M4'!$B$4:$B$100,B13,'BvsD_M4'!$E$4:$E$100)+SUMIF('BvsD_M5'!$B$4:$B$100,B13,'BvsD_M5'!$E$4:$E$100)+SUMIF('BvsD_M6'!$B$4:$B$100,B13,'BvsD_M6'!$E$4:$E$100)+SUMIF('AvsD_M1'!$B$4:$B$100,B13,'AvsD_M1'!$E$4:$E$100)+SUMIF('AvsD_M2'!$B$4:$B$100,B13,'AvsD_M2'!$E$4:$E$100)+SUMIF('AvsD_M3'!$B$4:$B$100,B13,'AvsD_M3'!$E$4:$E$100)+SUMIF('AvsD_M4'!$B$4:$B$100,B13,'AvsD_M4'!$E$4:$E$100)+SUMIF('AvsD_M5'!$B$4:$B$100,B13,'AvsD_M5'!$E$4:$E$100)+SUMIF('AvsD_M6'!$B$4:$B$100,B13,'AvsD_M6'!$E$4:$E$100)+SUMIF('BvsC_M1'!$B$4:$B$100,B13,'BvsC_M1'!$E$4:$E$100)+SUMIF('BvsC_M2'!$B$4:$B$100,B13,'BvsC_M2'!$E$4:$E$100)+SUMIF('BvsC_M3'!$B$4:$B$100,B13,'BvsC_M3'!$E$4:$E$100)+SUMIF('BvsC_M4'!$B$4:$B$100,B13,'BvsC_M4'!$E$4:$E$100)+SUMIF('BvsC_M5'!$B$4:$B$100,B13,'BvsC_M5'!$E$4:$E$100)+SUMIF('BvsC_M6'!$B$4:$B$100,B13,'BvsC_M6'!$E$4:$E$100)</f>
        <v/>
      </c>
      <c r="G13" s="32">
        <f>SUMIF('AvsB_M1'!$B$4:$B$100,B13,'AvsB_M1'!$F$4:$F$100)+SUMIF('AvsB_M2'!$B$4:$B$100,B13,'AvsB_M2'!$F$4:$F$100)+SUMIF('AvsB_M3'!$B$4:$B$100,B13,'AvsB_M3'!$F$4:$F$100)+SUMIF('AvsB_M4'!$B$4:$B$100,B13,'AvsB_M4'!$F$4:$F$100)+SUMIF('AvsB_M5'!$B$4:$B$100,B13,'AvsB_M5'!$F$4:$F$100)+SUMIF('AvsB_M6'!$B$4:$B$100,B13,'AvsB_M6'!$F$4:$F$100)+SUMIF('CvsD_M1'!$B$4:$B$100,B13,'CvsD_M1'!$F$4:$F$100)+SUMIF('CvsD_M2'!$B$4:$B$100,B13,'CvsD_M2'!$F$4:$F$100)+SUMIF('CvsD_M3'!$B$4:$B$100,B13,'CvsD_M3'!$F$4:$F$100)+SUMIF('CvsD_M4'!$B$4:$B$100,B13,'CvsD_M4'!$F$4:$F$100)+SUMIF('CvsD_M5'!$B$4:$B$100,B13,'CvsD_M5'!$F$4:$F$100)+SUMIF('CvsD_M6'!$B$4:$B$100,B13,'CvsD_M6'!$F$4:$F$100)+SUMIF('AvsC_M1'!$B$4:$B$100,B13,'AvsC_M1'!$F$4:$F$100)+SUMIF('AvsC_M2'!$B$4:$B$100,B13,'AvsC_M2'!$F$4:$F$100)+SUMIF('AvsC_M3'!$B$4:$B$100,B13,'AvsC_M3'!$F$4:$F$100)+SUMIF('AvsC_M4'!$B$4:$B$100,B13,'AvsC_M4'!$F$4:$F$100)+SUMIF('AvsC_M5'!$B$4:$B$100,B13,'AvsC_M5'!$F$4:$F$100)+SUMIF('AvsC_M6'!$B$4:$B$100,B13,'AvsC_M6'!$F$4:$F$100)+SUMIF('BvsD_M1'!$B$4:$B$100,B13,'BvsD_M1'!$F$4:$F$100)+SUMIF('BvsD_M2'!$B$4:$B$100,B13,'BvsD_M2'!$F$4:$F$100)+SUMIF('BvsD_M3'!$B$4:$B$100,B13,'BvsD_M3'!$F$4:$F$100)+SUMIF('BvsD_M4'!$B$4:$B$100,B13,'BvsD_M4'!$F$4:$F$100)+SUMIF('BvsD_M5'!$B$4:$B$100,B13,'BvsD_M5'!$F$4:$F$100)+SUMIF('BvsD_M6'!$B$4:$B$100,B13,'BvsD_M6'!$F$4:$F$100)+SUMIF('AvsD_M1'!$B$4:$B$100,B13,'AvsD_M1'!$F$4:$F$100)+SUMIF('AvsD_M2'!$B$4:$B$100,B13,'AvsD_M2'!$F$4:$F$100)+SUMIF('AvsD_M3'!$B$4:$B$100,B13,'AvsD_M3'!$F$4:$F$100)+SUMIF('AvsD_M4'!$B$4:$B$100,B13,'AvsD_M4'!$F$4:$F$100)+SUMIF('AvsD_M5'!$B$4:$B$100,B13,'AvsD_M5'!$F$4:$F$100)+SUMIF('AvsD_M6'!$B$4:$B$100,B13,'AvsD_M6'!$F$4:$F$100)+SUMIF('BvsC_M1'!$B$4:$B$100,B13,'BvsC_M1'!$F$4:$F$100)+SUMIF('BvsC_M2'!$B$4:$B$100,B13,'BvsC_M2'!$F$4:$F$100)+SUMIF('BvsC_M3'!$B$4:$B$100,B13,'BvsC_M3'!$F$4:$F$100)+SUMIF('BvsC_M4'!$B$4:$B$100,B13,'BvsC_M4'!$F$4:$F$100)+SUMIF('BvsC_M5'!$B$4:$B$100,B13,'BvsC_M5'!$F$4:$F$100)+SUMIF('BvsC_M6'!$B$4:$B$100,B13,'BvsC_M6'!$F$4:$F$100)</f>
        <v/>
      </c>
      <c r="H13" s="32">
        <f>SUMIF('AvsB_M1'!$B$4:$B$100,B13,'AvsB_M1'!$G$4:$G$100)+SUMIF('AvsB_M2'!$B$4:$B$100,B13,'AvsB_M2'!$G$4:$G$100)+SUMIF('AvsB_M3'!$B$4:$B$100,B13,'AvsB_M3'!$G$4:$G$100)+SUMIF('AvsB_M4'!$B$4:$B$100,B13,'AvsB_M4'!$G$4:$G$100)+SUMIF('AvsB_M5'!$B$4:$B$100,B13,'AvsB_M5'!$G$4:$G$100)+SUMIF('AvsB_M6'!$B$4:$B$100,B13,'AvsB_M6'!$G$4:$G$100)+SUMIF('CvsD_M1'!$B$4:$B$100,B13,'CvsD_M1'!$G$4:$G$100)+SUMIF('CvsD_M2'!$B$4:$B$100,B13,'CvsD_M2'!$G$4:$G$100)+SUMIF('CvsD_M3'!$B$4:$B$100,B13,'CvsD_M3'!$G$4:$G$100)+SUMIF('CvsD_M4'!$B$4:$B$100,B13,'CvsD_M4'!$G$4:$G$100)+SUMIF('CvsD_M5'!$B$4:$B$100,B13,'CvsD_M5'!$G$4:$G$100)+SUMIF('CvsD_M6'!$B$4:$B$100,B13,'CvsD_M6'!$G$4:$G$100)+SUMIF('AvsC_M1'!$B$4:$B$100,B13,'AvsC_M1'!$G$4:$G$100)+SUMIF('AvsC_M2'!$B$4:$B$100,B13,'AvsC_M2'!$G$4:$G$100)+SUMIF('AvsC_M3'!$B$4:$B$100,B13,'AvsC_M3'!$G$4:$G$100)+SUMIF('AvsC_M4'!$B$4:$B$100,B13,'AvsC_M4'!$G$4:$G$100)+SUMIF('AvsC_M5'!$B$4:$B$100,B13,'AvsC_M5'!$G$4:$G$100)+SUMIF('AvsC_M6'!$B$4:$B$100,B13,'AvsC_M6'!$G$4:$G$100)+SUMIF('BvsD_M1'!$B$4:$B$100,B13,'BvsD_M1'!$G$4:$G$100)+SUMIF('BvsD_M2'!$B$4:$B$100,B13,'BvsD_M2'!$G$4:$G$100)+SUMIF('BvsD_M3'!$B$4:$B$100,B13,'BvsD_M3'!$G$4:$G$100)+SUMIF('BvsD_M4'!$B$4:$B$100,B13,'BvsD_M4'!$G$4:$G$100)+SUMIF('BvsD_M5'!$B$4:$B$100,B13,'BvsD_M5'!$G$4:$G$100)+SUMIF('BvsD_M6'!$B$4:$B$100,B13,'BvsD_M6'!$G$4:$G$100)+SUMIF('AvsD_M1'!$B$4:$B$100,B13,'AvsD_M1'!$G$4:$G$100)+SUMIF('AvsD_M2'!$B$4:$B$100,B13,'AvsD_M2'!$G$4:$G$100)+SUMIF('AvsD_M3'!$B$4:$B$100,B13,'AvsD_M3'!$G$4:$G$100)+SUMIF('AvsD_M4'!$B$4:$B$100,B13,'AvsD_M4'!$G$4:$G$100)+SUMIF('AvsD_M5'!$B$4:$B$100,B13,'AvsD_M5'!$G$4:$G$100)+SUMIF('AvsD_M6'!$B$4:$B$100,B13,'AvsD_M6'!$G$4:$G$100)+SUMIF('BvsC_M1'!$B$4:$B$100,B13,'BvsC_M1'!$G$4:$G$100)+SUMIF('BvsC_M2'!$B$4:$B$100,B13,'BvsC_M2'!$G$4:$G$100)+SUMIF('BvsC_M3'!$B$4:$B$100,B13,'BvsC_M3'!$G$4:$G$100)+SUMIF('BvsC_M4'!$B$4:$B$100,B13,'BvsC_M4'!$G$4:$G$100)+SUMIF('BvsC_M5'!$B$4:$B$100,B13,'BvsC_M5'!$G$4:$G$100)+SUMIF('BvsC_M6'!$B$4:$B$100,B13,'BvsC_M6'!$G$4:$G$100)</f>
        <v/>
      </c>
      <c r="I13" s="32">
        <f>SUMIF('AvsB_M1'!$B$4:$B$100,B13,'AvsB_M1'!$H$4:$H$100)+SUMIF('AvsB_M2'!$B$4:$B$100,B13,'AvsB_M2'!$H$4:$H$100)+SUMIF('AvsB_M3'!$B$4:$B$100,B13,'AvsB_M3'!$H$4:$H$100)+SUMIF('AvsB_M4'!$B$4:$B$100,B13,'AvsB_M4'!$H$4:$H$100)+SUMIF('AvsB_M5'!$B$4:$B$100,B13,'AvsB_M5'!$H$4:$H$100)+SUMIF('AvsB_M6'!$B$4:$B$100,B13,'AvsB_M6'!$H$4:$H$100)+SUMIF('CvsD_M1'!$B$4:$B$100,B13,'CvsD_M1'!$H$4:$H$100)+SUMIF('CvsD_M2'!$B$4:$B$100,B13,'CvsD_M2'!$H$4:$H$100)+SUMIF('CvsD_M3'!$B$4:$B$100,B13,'CvsD_M3'!$H$4:$H$100)+SUMIF('CvsD_M4'!$B$4:$B$100,B13,'CvsD_M4'!$H$4:$H$100)+SUMIF('CvsD_M5'!$B$4:$B$100,B13,'CvsD_M5'!$H$4:$H$100)+SUMIF('CvsD_M6'!$B$4:$B$100,B13,'CvsD_M6'!$H$4:$H$100)+SUMIF('AvsC_M1'!$B$4:$B$100,B13,'AvsC_M1'!$H$4:$H$100)+SUMIF('AvsC_M2'!$B$4:$B$100,B13,'AvsC_M2'!$H$4:$H$100)+SUMIF('AvsC_M3'!$B$4:$B$100,B13,'AvsC_M3'!$H$4:$H$100)+SUMIF('AvsC_M4'!$B$4:$B$100,B13,'AvsC_M4'!$H$4:$H$100)+SUMIF('AvsC_M5'!$B$4:$B$100,B13,'AvsC_M5'!$H$4:$H$100)+SUMIF('AvsC_M6'!$B$4:$B$100,B13,'AvsC_M6'!$H$4:$H$100)+SUMIF('BvsD_M1'!$B$4:$B$100,B13,'BvsD_M1'!$H$4:$H$100)+SUMIF('BvsD_M2'!$B$4:$B$100,B13,'BvsD_M2'!$H$4:$H$100)+SUMIF('BvsD_M3'!$B$4:$B$100,B13,'BvsD_M3'!$H$4:$H$100)+SUMIF('BvsD_M4'!$B$4:$B$100,B13,'BvsD_M4'!$H$4:$H$100)+SUMIF('BvsD_M5'!$B$4:$B$100,B13,'BvsD_M5'!$H$4:$H$100)+SUMIF('BvsD_M6'!$B$4:$B$100,B13,'BvsD_M6'!$H$4:$H$100)+SUMIF('AvsD_M1'!$B$4:$B$100,B13,'AvsD_M1'!$H$4:$H$100)+SUMIF('AvsD_M2'!$B$4:$B$100,B13,'AvsD_M2'!$H$4:$H$100)+SUMIF('AvsD_M3'!$B$4:$B$100,B13,'AvsD_M3'!$H$4:$H$100)+SUMIF('AvsD_M4'!$B$4:$B$100,B13,'AvsD_M4'!$H$4:$H$100)+SUMIF('AvsD_M5'!$B$4:$B$100,B13,'AvsD_M5'!$H$4:$H$100)+SUMIF('AvsD_M6'!$B$4:$B$100,B13,'AvsD_M6'!$H$4:$H$100)+SUMIF('BvsC_M1'!$B$4:$B$100,B13,'BvsC_M1'!$H$4:$H$100)+SUMIF('BvsC_M2'!$B$4:$B$100,B13,'BvsC_M2'!$H$4:$H$100)+SUMIF('BvsC_M3'!$B$4:$B$100,B13,'BvsC_M3'!$H$4:$H$100)+SUMIF('BvsC_M4'!$B$4:$B$100,B13,'BvsC_M4'!$H$4:$H$100)+SUMIF('BvsC_M5'!$B$4:$B$100,B13,'BvsC_M5'!$H$4:$H$100)+SUMIF('BvsC_M6'!$B$4:$B$100,B13,'BvsC_M6'!$H$4:$H$100)</f>
        <v/>
      </c>
      <c r="J13" s="32">
        <f>SUMIF('AvsB_M1'!$B$4:$B$100,B13,'AvsB_M1'!$I$4:$I$100)+SUMIF('AvsB_M2'!$B$4:$B$100,B13,'AvsB_M2'!$I$4:$I$100)+SUMIF('AvsB_M3'!$B$4:$B$100,B13,'AvsB_M3'!$I$4:$I$100)+SUMIF('AvsB_M4'!$B$4:$B$100,B13,'AvsB_M4'!$I$4:$I$100)+SUMIF('AvsB_M5'!$B$4:$B$100,B13,'AvsB_M5'!$I$4:$I$100)+SUMIF('AvsB_M6'!$B$4:$B$100,B13,'AvsB_M6'!$I$4:$I$100)+SUMIF('CvsD_M1'!$B$4:$B$100,B13,'CvsD_M1'!$I$4:$I$100)+SUMIF('CvsD_M2'!$B$4:$B$100,B13,'CvsD_M2'!$I$4:$I$100)+SUMIF('CvsD_M3'!$B$4:$B$100,B13,'CvsD_M3'!$I$4:$I$100)+SUMIF('CvsD_M4'!$B$4:$B$100,B13,'CvsD_M4'!$I$4:$I$100)+SUMIF('CvsD_M5'!$B$4:$B$100,B13,'CvsD_M5'!$I$4:$I$100)+SUMIF('CvsD_M6'!$B$4:$B$100,B13,'CvsD_M6'!$I$4:$I$100)+SUMIF('AvsC_M1'!$B$4:$B$100,B13,'AvsC_M1'!$I$4:$I$100)+SUMIF('AvsC_M2'!$B$4:$B$100,B13,'AvsC_M2'!$I$4:$I$100)+SUMIF('AvsC_M3'!$B$4:$B$100,B13,'AvsC_M3'!$I$4:$I$100)+SUMIF('AvsC_M4'!$B$4:$B$100,B13,'AvsC_M4'!$I$4:$I$100)+SUMIF('AvsC_M5'!$B$4:$B$100,B13,'AvsC_M5'!$I$4:$I$100)+SUMIF('AvsC_M6'!$B$4:$B$100,B13,'AvsC_M6'!$I$4:$I$100)+SUMIF('BvsD_M1'!$B$4:$B$100,B13,'BvsD_M1'!$I$4:$I$100)+SUMIF('BvsD_M2'!$B$4:$B$100,B13,'BvsD_M2'!$I$4:$I$100)+SUMIF('BvsD_M3'!$B$4:$B$100,B13,'BvsD_M3'!$I$4:$I$100)+SUMIF('BvsD_M4'!$B$4:$B$100,B13,'BvsD_M4'!$I$4:$I$100)+SUMIF('BvsD_M5'!$B$4:$B$100,B13,'BvsD_M5'!$I$4:$I$100)+SUMIF('BvsD_M6'!$B$4:$B$100,B13,'BvsD_M6'!$I$4:$I$100)+SUMIF('AvsD_M1'!$B$4:$B$100,B13,'AvsD_M1'!$I$4:$I$100)+SUMIF('AvsD_M2'!$B$4:$B$100,B13,'AvsD_M2'!$I$4:$I$100)+SUMIF('AvsD_M3'!$B$4:$B$100,B13,'AvsD_M3'!$I$4:$I$100)+SUMIF('AvsD_M4'!$B$4:$B$100,B13,'AvsD_M4'!$I$4:$I$100)+SUMIF('AvsD_M5'!$B$4:$B$100,B13,'AvsD_M5'!$I$4:$I$100)+SUMIF('AvsD_M6'!$B$4:$B$100,B13,'AvsD_M6'!$I$4:$I$100)+SUMIF('BvsC_M1'!$B$4:$B$100,B13,'BvsC_M1'!$I$4:$I$100)+SUMIF('BvsC_M2'!$B$4:$B$100,B13,'BvsC_M2'!$I$4:$I$100)+SUMIF('BvsC_M3'!$B$4:$B$100,B13,'BvsC_M3'!$I$4:$I$100)+SUMIF('BvsC_M4'!$B$4:$B$100,B13,'BvsC_M4'!$I$4:$I$100)+SUMIF('BvsC_M5'!$B$4:$B$100,B13,'BvsC_M5'!$I$4:$I$100)+SUMIF('BvsC_M6'!$B$4:$B$100,B13,'BvsC_M6'!$I$4:$I$100)</f>
        <v/>
      </c>
    </row>
    <row r="14">
      <c r="A14" s="32" t="n">
        <v>11</v>
      </c>
      <c r="B14" s="32" t="inlineStr">
        <is>
          <t>SQUAD TWO</t>
        </is>
      </c>
      <c r="C14" s="32">
        <f>COUNTIF('AvsB_M1'!$B$4:$B$100,B14)+COUNTIF('AvsB_M2'!$B$4:$B$100,B14)+COUNTIF('AvsB_M3'!$B$4:$B$100,B14)+COUNTIF('AvsB_M4'!$B$4:$B$100,B14)+COUNTIF('AvsB_M5'!$B$4:$B$100,B14)+COUNTIF('AvsB_M6'!$B$4:$B$100,B14)+COUNTIF('CvsD_M1'!$B$4:$B$100,B14)+COUNTIF('CvsD_M2'!$B$4:$B$100,B14)+COUNTIF('CvsD_M3'!$B$4:$B$100,B14)+COUNTIF('CvsD_M4'!$B$4:$B$100,B14)+COUNTIF('CvsD_M5'!$B$4:$B$100,B14)+COUNTIF('CvsD_M6'!$B$4:$B$100,B14)+COUNTIF('AvsC_M1'!$B$4:$B$100,B14)+COUNTIF('AvsC_M2'!$B$4:$B$100,B14)+COUNTIF('AvsC_M3'!$B$4:$B$100,B14)+COUNTIF('AvsC_M4'!$B$4:$B$100,B14)+COUNTIF('AvsC_M5'!$B$4:$B$100,B14)+COUNTIF('AvsC_M6'!$B$4:$B$100,B14)+COUNTIF('BvsD_M1'!$B$4:$B$100,B14)+COUNTIF('BvsD_M2'!$B$4:$B$100,B14)+COUNTIF('BvsD_M3'!$B$4:$B$100,B14)+COUNTIF('BvsD_M4'!$B$4:$B$100,B14)+COUNTIF('BvsD_M5'!$B$4:$B$100,B14)+COUNTIF('BvsD_M6'!$B$4:$B$100,B14)+COUNTIF('AvsD_M1'!$B$4:$B$100,B14)+COUNTIF('AvsD_M2'!$B$4:$B$100,B14)+COUNTIF('AvsD_M3'!$B$4:$B$100,B14)+COUNTIF('AvsD_M4'!$B$4:$B$100,B14)+COUNTIF('AvsD_M5'!$B$4:$B$100,B14)+COUNTIF('AvsD_M6'!$B$4:$B$100,B14)+COUNTIF('BvsC_M1'!$B$4:$B$100,B14)+COUNTIF('BvsC_M2'!$B$4:$B$100,B14)+COUNTIF('BvsC_M3'!$B$4:$B$100,B14)+COUNTIF('BvsC_M4'!$B$4:$B$100,B14)+COUNTIF('BvsC_M5'!$B$4:$B$100,B14)+COUNTIF('BvsC_M6'!$B$4:$B$100,B14)</f>
        <v/>
      </c>
      <c r="D14" s="32">
        <f>SUMIF('AvsB_M1'!$B$4:$B$100,B14,'AvsB_M1'!$C$4:$C$100)+SUMIF('AvsB_M2'!$B$4:$B$100,B14,'AvsB_M2'!$C$4:$C$100)+SUMIF('AvsB_M3'!$B$4:$B$100,B14,'AvsB_M3'!$C$4:$C$100)+SUMIF('AvsB_M4'!$B$4:$B$100,B14,'AvsB_M4'!$C$4:$C$100)+SUMIF('AvsB_M5'!$B$4:$B$100,B14,'AvsB_M5'!$C$4:$C$100)+SUMIF('AvsB_M6'!$B$4:$B$100,B14,'AvsB_M6'!$C$4:$C$100)+SUMIF('CvsD_M1'!$B$4:$B$100,B14,'CvsD_M1'!$C$4:$C$100)+SUMIF('CvsD_M2'!$B$4:$B$100,B14,'CvsD_M2'!$C$4:$C$100)+SUMIF('CvsD_M3'!$B$4:$B$100,B14,'CvsD_M3'!$C$4:$C$100)+SUMIF('CvsD_M4'!$B$4:$B$100,B14,'CvsD_M4'!$C$4:$C$100)+SUMIF('CvsD_M5'!$B$4:$B$100,B14,'CvsD_M5'!$C$4:$C$100)+SUMIF('CvsD_M6'!$B$4:$B$100,B14,'CvsD_M6'!$C$4:$C$100)+SUMIF('AvsC_M1'!$B$4:$B$100,B14,'AvsC_M1'!$C$4:$C$100)+SUMIF('AvsC_M2'!$B$4:$B$100,B14,'AvsC_M2'!$C$4:$C$100)+SUMIF('AvsC_M3'!$B$4:$B$100,B14,'AvsC_M3'!$C$4:$C$100)+SUMIF('AvsC_M4'!$B$4:$B$100,B14,'AvsC_M4'!$C$4:$C$100)+SUMIF('AvsC_M5'!$B$4:$B$100,B14,'AvsC_M5'!$C$4:$C$100)+SUMIF('AvsC_M6'!$B$4:$B$100,B14,'AvsC_M6'!$C$4:$C$100)+SUMIF('BvsD_M1'!$B$4:$B$100,B14,'BvsD_M1'!$C$4:$C$100)+SUMIF('BvsD_M2'!$B$4:$B$100,B14,'BvsD_M2'!$C$4:$C$100)+SUMIF('BvsD_M3'!$B$4:$B$100,B14,'BvsD_M3'!$C$4:$C$100)+SUMIF('BvsD_M4'!$B$4:$B$100,B14,'BvsD_M4'!$C$4:$C$100)+SUMIF('BvsD_M5'!$B$4:$B$100,B14,'BvsD_M5'!$C$4:$C$100)+SUMIF('BvsD_M6'!$B$4:$B$100,B14,'BvsD_M6'!$C$4:$C$100)+SUMIF('AvsD_M1'!$B$4:$B$100,B14,'AvsD_M1'!$C$4:$C$100)+SUMIF('AvsD_M2'!$B$4:$B$100,B14,'AvsD_M2'!$C$4:$C$100)+SUMIF('AvsD_M3'!$B$4:$B$100,B14,'AvsD_M3'!$C$4:$C$100)+SUMIF('AvsD_M4'!$B$4:$B$100,B14,'AvsD_M4'!$C$4:$C$100)+SUMIF('AvsD_M5'!$B$4:$B$100,B14,'AvsD_M5'!$C$4:$C$100)+SUMIF('AvsD_M6'!$B$4:$B$100,B14,'AvsD_M6'!$C$4:$C$100)+SUMIF('BvsC_M1'!$B$4:$B$100,B14,'BvsC_M1'!$C$4:$C$100)+SUMIF('BvsC_M2'!$B$4:$B$100,B14,'BvsC_M2'!$C$4:$C$100)+SUMIF('BvsC_M3'!$B$4:$B$100,B14,'BvsC_M3'!$C$4:$C$100)+SUMIF('BvsC_M4'!$B$4:$B$100,B14,'BvsC_M4'!$C$4:$C$100)+SUMIF('BvsC_M5'!$B$4:$B$100,B14,'BvsC_M5'!$C$4:$C$100)+SUMIF('BvsC_M6'!$B$4:$B$100,B14,'BvsC_M6'!$C$4:$C$100)</f>
        <v/>
      </c>
      <c r="E14" s="32">
        <f>SUMIF('AvsB_M1'!$B$4:$B$100,B14,'AvsB_M1'!$D$4:$D$100)+SUMIF('AvsB_M2'!$B$4:$B$100,B14,'AvsB_M2'!$D$4:$D$100)+SUMIF('AvsB_M3'!$B$4:$B$100,B14,'AvsB_M3'!$D$4:$D$100)+SUMIF('AvsB_M4'!$B$4:$B$100,B14,'AvsB_M4'!$D$4:$D$100)+SUMIF('AvsB_M5'!$B$4:$B$100,B14,'AvsB_M5'!$D$4:$D$100)+SUMIF('AvsB_M6'!$B$4:$B$100,B14,'AvsB_M6'!$D$4:$D$100)+SUMIF('CvsD_M1'!$B$4:$B$100,B14,'CvsD_M1'!$D$4:$D$100)+SUMIF('CvsD_M2'!$B$4:$B$100,B14,'CvsD_M2'!$D$4:$D$100)+SUMIF('CvsD_M3'!$B$4:$B$100,B14,'CvsD_M3'!$D$4:$D$100)+SUMIF('CvsD_M4'!$B$4:$B$100,B14,'CvsD_M4'!$D$4:$D$100)+SUMIF('CvsD_M5'!$B$4:$B$100,B14,'CvsD_M5'!$D$4:$D$100)+SUMIF('CvsD_M6'!$B$4:$B$100,B14,'CvsD_M6'!$D$4:$D$100)+SUMIF('AvsC_M1'!$B$4:$B$100,B14,'AvsC_M1'!$D$4:$D$100)+SUMIF('AvsC_M2'!$B$4:$B$100,B14,'AvsC_M2'!$D$4:$D$100)+SUMIF('AvsC_M3'!$B$4:$B$100,B14,'AvsC_M3'!$D$4:$D$100)+SUMIF('AvsC_M4'!$B$4:$B$100,B14,'AvsC_M4'!$D$4:$D$100)+SUMIF('AvsC_M5'!$B$4:$B$100,B14,'AvsC_M5'!$D$4:$D$100)+SUMIF('AvsC_M6'!$B$4:$B$100,B14,'AvsC_M6'!$D$4:$D$100)+SUMIF('BvsD_M1'!$B$4:$B$100,B14,'BvsD_M1'!$D$4:$D$100)+SUMIF('BvsD_M2'!$B$4:$B$100,B14,'BvsD_M2'!$D$4:$D$100)+SUMIF('BvsD_M3'!$B$4:$B$100,B14,'BvsD_M3'!$D$4:$D$100)+SUMIF('BvsD_M4'!$B$4:$B$100,B14,'BvsD_M4'!$D$4:$D$100)+SUMIF('BvsD_M5'!$B$4:$B$100,B14,'BvsD_M5'!$D$4:$D$100)+SUMIF('BvsD_M6'!$B$4:$B$100,B14,'BvsD_M6'!$D$4:$D$100)+SUMIF('AvsD_M1'!$B$4:$B$100,B14,'AvsD_M1'!$D$4:$D$100)+SUMIF('AvsD_M2'!$B$4:$B$100,B14,'AvsD_M2'!$D$4:$D$100)+SUMIF('AvsD_M3'!$B$4:$B$100,B14,'AvsD_M3'!$D$4:$D$100)+SUMIF('AvsD_M4'!$B$4:$B$100,B14,'AvsD_M4'!$D$4:$D$100)+SUMIF('AvsD_M5'!$B$4:$B$100,B14,'AvsD_M5'!$D$4:$D$100)+SUMIF('AvsD_M6'!$B$4:$B$100,B14,'AvsD_M6'!$D$4:$D$100)+SUMIF('BvsC_M1'!$B$4:$B$100,B14,'BvsC_M1'!$D$4:$D$100)+SUMIF('BvsC_M2'!$B$4:$B$100,B14,'BvsC_M2'!$D$4:$D$100)+SUMIF('BvsC_M3'!$B$4:$B$100,B14,'BvsC_M3'!$D$4:$D$100)+SUMIF('BvsC_M4'!$B$4:$B$100,B14,'BvsC_M4'!$D$4:$D$100)+SUMIF('BvsC_M5'!$B$4:$B$100,B14,'BvsC_M5'!$D$4:$D$100)+SUMIF('BvsC_M6'!$B$4:$B$100,B14,'BvsC_M6'!$D$4:$D$100)</f>
        <v/>
      </c>
      <c r="F14" s="32">
        <f>SUMIF('AvsB_M1'!$B$4:$B$100,B14,'AvsB_M1'!$E$4:$E$100)+SUMIF('AvsB_M2'!$B$4:$B$100,B14,'AvsB_M2'!$E$4:$E$100)+SUMIF('AvsB_M3'!$B$4:$B$100,B14,'AvsB_M3'!$E$4:$E$100)+SUMIF('AvsB_M4'!$B$4:$B$100,B14,'AvsB_M4'!$E$4:$E$100)+SUMIF('AvsB_M5'!$B$4:$B$100,B14,'AvsB_M5'!$E$4:$E$100)+SUMIF('AvsB_M6'!$B$4:$B$100,B14,'AvsB_M6'!$E$4:$E$100)+SUMIF('CvsD_M1'!$B$4:$B$100,B14,'CvsD_M1'!$E$4:$E$100)+SUMIF('CvsD_M2'!$B$4:$B$100,B14,'CvsD_M2'!$E$4:$E$100)+SUMIF('CvsD_M3'!$B$4:$B$100,B14,'CvsD_M3'!$E$4:$E$100)+SUMIF('CvsD_M4'!$B$4:$B$100,B14,'CvsD_M4'!$E$4:$E$100)+SUMIF('CvsD_M5'!$B$4:$B$100,B14,'CvsD_M5'!$E$4:$E$100)+SUMIF('CvsD_M6'!$B$4:$B$100,B14,'CvsD_M6'!$E$4:$E$100)+SUMIF('AvsC_M1'!$B$4:$B$100,B14,'AvsC_M1'!$E$4:$E$100)+SUMIF('AvsC_M2'!$B$4:$B$100,B14,'AvsC_M2'!$E$4:$E$100)+SUMIF('AvsC_M3'!$B$4:$B$100,B14,'AvsC_M3'!$E$4:$E$100)+SUMIF('AvsC_M4'!$B$4:$B$100,B14,'AvsC_M4'!$E$4:$E$100)+SUMIF('AvsC_M5'!$B$4:$B$100,B14,'AvsC_M5'!$E$4:$E$100)+SUMIF('AvsC_M6'!$B$4:$B$100,B14,'AvsC_M6'!$E$4:$E$100)+SUMIF('BvsD_M1'!$B$4:$B$100,B14,'BvsD_M1'!$E$4:$E$100)+SUMIF('BvsD_M2'!$B$4:$B$100,B14,'BvsD_M2'!$E$4:$E$100)+SUMIF('BvsD_M3'!$B$4:$B$100,B14,'BvsD_M3'!$E$4:$E$100)+SUMIF('BvsD_M4'!$B$4:$B$100,B14,'BvsD_M4'!$E$4:$E$100)+SUMIF('BvsD_M5'!$B$4:$B$100,B14,'BvsD_M5'!$E$4:$E$100)+SUMIF('BvsD_M6'!$B$4:$B$100,B14,'BvsD_M6'!$E$4:$E$100)+SUMIF('AvsD_M1'!$B$4:$B$100,B14,'AvsD_M1'!$E$4:$E$100)+SUMIF('AvsD_M2'!$B$4:$B$100,B14,'AvsD_M2'!$E$4:$E$100)+SUMIF('AvsD_M3'!$B$4:$B$100,B14,'AvsD_M3'!$E$4:$E$100)+SUMIF('AvsD_M4'!$B$4:$B$100,B14,'AvsD_M4'!$E$4:$E$100)+SUMIF('AvsD_M5'!$B$4:$B$100,B14,'AvsD_M5'!$E$4:$E$100)+SUMIF('AvsD_M6'!$B$4:$B$100,B14,'AvsD_M6'!$E$4:$E$100)+SUMIF('BvsC_M1'!$B$4:$B$100,B14,'BvsC_M1'!$E$4:$E$100)+SUMIF('BvsC_M2'!$B$4:$B$100,B14,'BvsC_M2'!$E$4:$E$100)+SUMIF('BvsC_M3'!$B$4:$B$100,B14,'BvsC_M3'!$E$4:$E$100)+SUMIF('BvsC_M4'!$B$4:$B$100,B14,'BvsC_M4'!$E$4:$E$100)+SUMIF('BvsC_M5'!$B$4:$B$100,B14,'BvsC_M5'!$E$4:$E$100)+SUMIF('BvsC_M6'!$B$4:$B$100,B14,'BvsC_M6'!$E$4:$E$100)</f>
        <v/>
      </c>
      <c r="G14" s="32">
        <f>SUMIF('AvsB_M1'!$B$4:$B$100,B14,'AvsB_M1'!$F$4:$F$100)+SUMIF('AvsB_M2'!$B$4:$B$100,B14,'AvsB_M2'!$F$4:$F$100)+SUMIF('AvsB_M3'!$B$4:$B$100,B14,'AvsB_M3'!$F$4:$F$100)+SUMIF('AvsB_M4'!$B$4:$B$100,B14,'AvsB_M4'!$F$4:$F$100)+SUMIF('AvsB_M5'!$B$4:$B$100,B14,'AvsB_M5'!$F$4:$F$100)+SUMIF('AvsB_M6'!$B$4:$B$100,B14,'AvsB_M6'!$F$4:$F$100)+SUMIF('CvsD_M1'!$B$4:$B$100,B14,'CvsD_M1'!$F$4:$F$100)+SUMIF('CvsD_M2'!$B$4:$B$100,B14,'CvsD_M2'!$F$4:$F$100)+SUMIF('CvsD_M3'!$B$4:$B$100,B14,'CvsD_M3'!$F$4:$F$100)+SUMIF('CvsD_M4'!$B$4:$B$100,B14,'CvsD_M4'!$F$4:$F$100)+SUMIF('CvsD_M5'!$B$4:$B$100,B14,'CvsD_M5'!$F$4:$F$100)+SUMIF('CvsD_M6'!$B$4:$B$100,B14,'CvsD_M6'!$F$4:$F$100)+SUMIF('AvsC_M1'!$B$4:$B$100,B14,'AvsC_M1'!$F$4:$F$100)+SUMIF('AvsC_M2'!$B$4:$B$100,B14,'AvsC_M2'!$F$4:$F$100)+SUMIF('AvsC_M3'!$B$4:$B$100,B14,'AvsC_M3'!$F$4:$F$100)+SUMIF('AvsC_M4'!$B$4:$B$100,B14,'AvsC_M4'!$F$4:$F$100)+SUMIF('AvsC_M5'!$B$4:$B$100,B14,'AvsC_M5'!$F$4:$F$100)+SUMIF('AvsC_M6'!$B$4:$B$100,B14,'AvsC_M6'!$F$4:$F$100)+SUMIF('BvsD_M1'!$B$4:$B$100,B14,'BvsD_M1'!$F$4:$F$100)+SUMIF('BvsD_M2'!$B$4:$B$100,B14,'BvsD_M2'!$F$4:$F$100)+SUMIF('BvsD_M3'!$B$4:$B$100,B14,'BvsD_M3'!$F$4:$F$100)+SUMIF('BvsD_M4'!$B$4:$B$100,B14,'BvsD_M4'!$F$4:$F$100)+SUMIF('BvsD_M5'!$B$4:$B$100,B14,'BvsD_M5'!$F$4:$F$100)+SUMIF('BvsD_M6'!$B$4:$B$100,B14,'BvsD_M6'!$F$4:$F$100)+SUMIF('AvsD_M1'!$B$4:$B$100,B14,'AvsD_M1'!$F$4:$F$100)+SUMIF('AvsD_M2'!$B$4:$B$100,B14,'AvsD_M2'!$F$4:$F$100)+SUMIF('AvsD_M3'!$B$4:$B$100,B14,'AvsD_M3'!$F$4:$F$100)+SUMIF('AvsD_M4'!$B$4:$B$100,B14,'AvsD_M4'!$F$4:$F$100)+SUMIF('AvsD_M5'!$B$4:$B$100,B14,'AvsD_M5'!$F$4:$F$100)+SUMIF('AvsD_M6'!$B$4:$B$100,B14,'AvsD_M6'!$F$4:$F$100)+SUMIF('BvsC_M1'!$B$4:$B$100,B14,'BvsC_M1'!$F$4:$F$100)+SUMIF('BvsC_M2'!$B$4:$B$100,B14,'BvsC_M2'!$F$4:$F$100)+SUMIF('BvsC_M3'!$B$4:$B$100,B14,'BvsC_M3'!$F$4:$F$100)+SUMIF('BvsC_M4'!$B$4:$B$100,B14,'BvsC_M4'!$F$4:$F$100)+SUMIF('BvsC_M5'!$B$4:$B$100,B14,'BvsC_M5'!$F$4:$F$100)+SUMIF('BvsC_M6'!$B$4:$B$100,B14,'BvsC_M6'!$F$4:$F$100)</f>
        <v/>
      </c>
      <c r="H14" s="32">
        <f>SUMIF('AvsB_M1'!$B$4:$B$100,B14,'AvsB_M1'!$G$4:$G$100)+SUMIF('AvsB_M2'!$B$4:$B$100,B14,'AvsB_M2'!$G$4:$G$100)+SUMIF('AvsB_M3'!$B$4:$B$100,B14,'AvsB_M3'!$G$4:$G$100)+SUMIF('AvsB_M4'!$B$4:$B$100,B14,'AvsB_M4'!$G$4:$G$100)+SUMIF('AvsB_M5'!$B$4:$B$100,B14,'AvsB_M5'!$G$4:$G$100)+SUMIF('AvsB_M6'!$B$4:$B$100,B14,'AvsB_M6'!$G$4:$G$100)+SUMIF('CvsD_M1'!$B$4:$B$100,B14,'CvsD_M1'!$G$4:$G$100)+SUMIF('CvsD_M2'!$B$4:$B$100,B14,'CvsD_M2'!$G$4:$G$100)+SUMIF('CvsD_M3'!$B$4:$B$100,B14,'CvsD_M3'!$G$4:$G$100)+SUMIF('CvsD_M4'!$B$4:$B$100,B14,'CvsD_M4'!$G$4:$G$100)+SUMIF('CvsD_M5'!$B$4:$B$100,B14,'CvsD_M5'!$G$4:$G$100)+SUMIF('CvsD_M6'!$B$4:$B$100,B14,'CvsD_M6'!$G$4:$G$100)+SUMIF('AvsC_M1'!$B$4:$B$100,B14,'AvsC_M1'!$G$4:$G$100)+SUMIF('AvsC_M2'!$B$4:$B$100,B14,'AvsC_M2'!$G$4:$G$100)+SUMIF('AvsC_M3'!$B$4:$B$100,B14,'AvsC_M3'!$G$4:$G$100)+SUMIF('AvsC_M4'!$B$4:$B$100,B14,'AvsC_M4'!$G$4:$G$100)+SUMIF('AvsC_M5'!$B$4:$B$100,B14,'AvsC_M5'!$G$4:$G$100)+SUMIF('AvsC_M6'!$B$4:$B$100,B14,'AvsC_M6'!$G$4:$G$100)+SUMIF('BvsD_M1'!$B$4:$B$100,B14,'BvsD_M1'!$G$4:$G$100)+SUMIF('BvsD_M2'!$B$4:$B$100,B14,'BvsD_M2'!$G$4:$G$100)+SUMIF('BvsD_M3'!$B$4:$B$100,B14,'BvsD_M3'!$G$4:$G$100)+SUMIF('BvsD_M4'!$B$4:$B$100,B14,'BvsD_M4'!$G$4:$G$100)+SUMIF('BvsD_M5'!$B$4:$B$100,B14,'BvsD_M5'!$G$4:$G$100)+SUMIF('BvsD_M6'!$B$4:$B$100,B14,'BvsD_M6'!$G$4:$G$100)+SUMIF('AvsD_M1'!$B$4:$B$100,B14,'AvsD_M1'!$G$4:$G$100)+SUMIF('AvsD_M2'!$B$4:$B$100,B14,'AvsD_M2'!$G$4:$G$100)+SUMIF('AvsD_M3'!$B$4:$B$100,B14,'AvsD_M3'!$G$4:$G$100)+SUMIF('AvsD_M4'!$B$4:$B$100,B14,'AvsD_M4'!$G$4:$G$100)+SUMIF('AvsD_M5'!$B$4:$B$100,B14,'AvsD_M5'!$G$4:$G$100)+SUMIF('AvsD_M6'!$B$4:$B$100,B14,'AvsD_M6'!$G$4:$G$100)+SUMIF('BvsC_M1'!$B$4:$B$100,B14,'BvsC_M1'!$G$4:$G$100)+SUMIF('BvsC_M2'!$B$4:$B$100,B14,'BvsC_M2'!$G$4:$G$100)+SUMIF('BvsC_M3'!$B$4:$B$100,B14,'BvsC_M3'!$G$4:$G$100)+SUMIF('BvsC_M4'!$B$4:$B$100,B14,'BvsC_M4'!$G$4:$G$100)+SUMIF('BvsC_M5'!$B$4:$B$100,B14,'BvsC_M5'!$G$4:$G$100)+SUMIF('BvsC_M6'!$B$4:$B$100,B14,'BvsC_M6'!$G$4:$G$100)</f>
        <v/>
      </c>
      <c r="I14" s="32">
        <f>SUMIF('AvsB_M1'!$B$4:$B$100,B14,'AvsB_M1'!$H$4:$H$100)+SUMIF('AvsB_M2'!$B$4:$B$100,B14,'AvsB_M2'!$H$4:$H$100)+SUMIF('AvsB_M3'!$B$4:$B$100,B14,'AvsB_M3'!$H$4:$H$100)+SUMIF('AvsB_M4'!$B$4:$B$100,B14,'AvsB_M4'!$H$4:$H$100)+SUMIF('AvsB_M5'!$B$4:$B$100,B14,'AvsB_M5'!$H$4:$H$100)+SUMIF('AvsB_M6'!$B$4:$B$100,B14,'AvsB_M6'!$H$4:$H$100)+SUMIF('CvsD_M1'!$B$4:$B$100,B14,'CvsD_M1'!$H$4:$H$100)+SUMIF('CvsD_M2'!$B$4:$B$100,B14,'CvsD_M2'!$H$4:$H$100)+SUMIF('CvsD_M3'!$B$4:$B$100,B14,'CvsD_M3'!$H$4:$H$100)+SUMIF('CvsD_M4'!$B$4:$B$100,B14,'CvsD_M4'!$H$4:$H$100)+SUMIF('CvsD_M5'!$B$4:$B$100,B14,'CvsD_M5'!$H$4:$H$100)+SUMIF('CvsD_M6'!$B$4:$B$100,B14,'CvsD_M6'!$H$4:$H$100)+SUMIF('AvsC_M1'!$B$4:$B$100,B14,'AvsC_M1'!$H$4:$H$100)+SUMIF('AvsC_M2'!$B$4:$B$100,B14,'AvsC_M2'!$H$4:$H$100)+SUMIF('AvsC_M3'!$B$4:$B$100,B14,'AvsC_M3'!$H$4:$H$100)+SUMIF('AvsC_M4'!$B$4:$B$100,B14,'AvsC_M4'!$H$4:$H$100)+SUMIF('AvsC_M5'!$B$4:$B$100,B14,'AvsC_M5'!$H$4:$H$100)+SUMIF('AvsC_M6'!$B$4:$B$100,B14,'AvsC_M6'!$H$4:$H$100)+SUMIF('BvsD_M1'!$B$4:$B$100,B14,'BvsD_M1'!$H$4:$H$100)+SUMIF('BvsD_M2'!$B$4:$B$100,B14,'BvsD_M2'!$H$4:$H$100)+SUMIF('BvsD_M3'!$B$4:$B$100,B14,'BvsD_M3'!$H$4:$H$100)+SUMIF('BvsD_M4'!$B$4:$B$100,B14,'BvsD_M4'!$H$4:$H$100)+SUMIF('BvsD_M5'!$B$4:$B$100,B14,'BvsD_M5'!$H$4:$H$100)+SUMIF('BvsD_M6'!$B$4:$B$100,B14,'BvsD_M6'!$H$4:$H$100)+SUMIF('AvsD_M1'!$B$4:$B$100,B14,'AvsD_M1'!$H$4:$H$100)+SUMIF('AvsD_M2'!$B$4:$B$100,B14,'AvsD_M2'!$H$4:$H$100)+SUMIF('AvsD_M3'!$B$4:$B$100,B14,'AvsD_M3'!$H$4:$H$100)+SUMIF('AvsD_M4'!$B$4:$B$100,B14,'AvsD_M4'!$H$4:$H$100)+SUMIF('AvsD_M5'!$B$4:$B$100,B14,'AvsD_M5'!$H$4:$H$100)+SUMIF('AvsD_M6'!$B$4:$B$100,B14,'AvsD_M6'!$H$4:$H$100)+SUMIF('BvsC_M1'!$B$4:$B$100,B14,'BvsC_M1'!$H$4:$H$100)+SUMIF('BvsC_M2'!$B$4:$B$100,B14,'BvsC_M2'!$H$4:$H$100)+SUMIF('BvsC_M3'!$B$4:$B$100,B14,'BvsC_M3'!$H$4:$H$100)+SUMIF('BvsC_M4'!$B$4:$B$100,B14,'BvsC_M4'!$H$4:$H$100)+SUMIF('BvsC_M5'!$B$4:$B$100,B14,'BvsC_M5'!$H$4:$H$100)+SUMIF('BvsC_M6'!$B$4:$B$100,B14,'BvsC_M6'!$H$4:$H$100)</f>
        <v/>
      </c>
      <c r="J14" s="32">
        <f>SUMIF('AvsB_M1'!$B$4:$B$100,B14,'AvsB_M1'!$I$4:$I$100)+SUMIF('AvsB_M2'!$B$4:$B$100,B14,'AvsB_M2'!$I$4:$I$100)+SUMIF('AvsB_M3'!$B$4:$B$100,B14,'AvsB_M3'!$I$4:$I$100)+SUMIF('AvsB_M4'!$B$4:$B$100,B14,'AvsB_M4'!$I$4:$I$100)+SUMIF('AvsB_M5'!$B$4:$B$100,B14,'AvsB_M5'!$I$4:$I$100)+SUMIF('AvsB_M6'!$B$4:$B$100,B14,'AvsB_M6'!$I$4:$I$100)+SUMIF('CvsD_M1'!$B$4:$B$100,B14,'CvsD_M1'!$I$4:$I$100)+SUMIF('CvsD_M2'!$B$4:$B$100,B14,'CvsD_M2'!$I$4:$I$100)+SUMIF('CvsD_M3'!$B$4:$B$100,B14,'CvsD_M3'!$I$4:$I$100)+SUMIF('CvsD_M4'!$B$4:$B$100,B14,'CvsD_M4'!$I$4:$I$100)+SUMIF('CvsD_M5'!$B$4:$B$100,B14,'CvsD_M5'!$I$4:$I$100)+SUMIF('CvsD_M6'!$B$4:$B$100,B14,'CvsD_M6'!$I$4:$I$100)+SUMIF('AvsC_M1'!$B$4:$B$100,B14,'AvsC_M1'!$I$4:$I$100)+SUMIF('AvsC_M2'!$B$4:$B$100,B14,'AvsC_M2'!$I$4:$I$100)+SUMIF('AvsC_M3'!$B$4:$B$100,B14,'AvsC_M3'!$I$4:$I$100)+SUMIF('AvsC_M4'!$B$4:$B$100,B14,'AvsC_M4'!$I$4:$I$100)+SUMIF('AvsC_M5'!$B$4:$B$100,B14,'AvsC_M5'!$I$4:$I$100)+SUMIF('AvsC_M6'!$B$4:$B$100,B14,'AvsC_M6'!$I$4:$I$100)+SUMIF('BvsD_M1'!$B$4:$B$100,B14,'BvsD_M1'!$I$4:$I$100)+SUMIF('BvsD_M2'!$B$4:$B$100,B14,'BvsD_M2'!$I$4:$I$100)+SUMIF('BvsD_M3'!$B$4:$B$100,B14,'BvsD_M3'!$I$4:$I$100)+SUMIF('BvsD_M4'!$B$4:$B$100,B14,'BvsD_M4'!$I$4:$I$100)+SUMIF('BvsD_M5'!$B$4:$B$100,B14,'BvsD_M5'!$I$4:$I$100)+SUMIF('BvsD_M6'!$B$4:$B$100,B14,'BvsD_M6'!$I$4:$I$100)+SUMIF('AvsD_M1'!$B$4:$B$100,B14,'AvsD_M1'!$I$4:$I$100)+SUMIF('AvsD_M2'!$B$4:$B$100,B14,'AvsD_M2'!$I$4:$I$100)+SUMIF('AvsD_M3'!$B$4:$B$100,B14,'AvsD_M3'!$I$4:$I$100)+SUMIF('AvsD_M4'!$B$4:$B$100,B14,'AvsD_M4'!$I$4:$I$100)+SUMIF('AvsD_M5'!$B$4:$B$100,B14,'AvsD_M5'!$I$4:$I$100)+SUMIF('AvsD_M6'!$B$4:$B$100,B14,'AvsD_M6'!$I$4:$I$100)+SUMIF('BvsC_M1'!$B$4:$B$100,B14,'BvsC_M1'!$I$4:$I$100)+SUMIF('BvsC_M2'!$B$4:$B$100,B14,'BvsC_M2'!$I$4:$I$100)+SUMIF('BvsC_M3'!$B$4:$B$100,B14,'BvsC_M3'!$I$4:$I$100)+SUMIF('BvsC_M4'!$B$4:$B$100,B14,'BvsC_M4'!$I$4:$I$100)+SUMIF('BvsC_M5'!$B$4:$B$100,B14,'BvsC_M5'!$I$4:$I$100)+SUMIF('BvsC_M6'!$B$4:$B$100,B14,'BvsC_M6'!$I$4:$I$100)</f>
        <v/>
      </c>
    </row>
    <row r="15">
      <c r="A15" s="32" t="n">
        <v>12</v>
      </c>
      <c r="B15" s="32" t="inlineStr">
        <is>
          <t>UNKRITHI 2</t>
        </is>
      </c>
      <c r="C15" s="32">
        <f>COUNTIF('AvsB_M1'!$B$4:$B$100,B15)+COUNTIF('AvsB_M2'!$B$4:$B$100,B15)+COUNTIF('AvsB_M3'!$B$4:$B$100,B15)+COUNTIF('AvsB_M4'!$B$4:$B$100,B15)+COUNTIF('AvsB_M5'!$B$4:$B$100,B15)+COUNTIF('AvsB_M6'!$B$4:$B$100,B15)+COUNTIF('CvsD_M1'!$B$4:$B$100,B15)+COUNTIF('CvsD_M2'!$B$4:$B$100,B15)+COUNTIF('CvsD_M3'!$B$4:$B$100,B15)+COUNTIF('CvsD_M4'!$B$4:$B$100,B15)+COUNTIF('CvsD_M5'!$B$4:$B$100,B15)+COUNTIF('CvsD_M6'!$B$4:$B$100,B15)+COUNTIF('AvsC_M1'!$B$4:$B$100,B15)+COUNTIF('AvsC_M2'!$B$4:$B$100,B15)+COUNTIF('AvsC_M3'!$B$4:$B$100,B15)+COUNTIF('AvsC_M4'!$B$4:$B$100,B15)+COUNTIF('AvsC_M5'!$B$4:$B$100,B15)+COUNTIF('AvsC_M6'!$B$4:$B$100,B15)+COUNTIF('BvsD_M1'!$B$4:$B$100,B15)+COUNTIF('BvsD_M2'!$B$4:$B$100,B15)+COUNTIF('BvsD_M3'!$B$4:$B$100,B15)+COUNTIF('BvsD_M4'!$B$4:$B$100,B15)+COUNTIF('BvsD_M5'!$B$4:$B$100,B15)+COUNTIF('BvsD_M6'!$B$4:$B$100,B15)+COUNTIF('AvsD_M1'!$B$4:$B$100,B15)+COUNTIF('AvsD_M2'!$B$4:$B$100,B15)+COUNTIF('AvsD_M3'!$B$4:$B$100,B15)+COUNTIF('AvsD_M4'!$B$4:$B$100,B15)+COUNTIF('AvsD_M5'!$B$4:$B$100,B15)+COUNTIF('AvsD_M6'!$B$4:$B$100,B15)+COUNTIF('BvsC_M1'!$B$4:$B$100,B15)+COUNTIF('BvsC_M2'!$B$4:$B$100,B15)+COUNTIF('BvsC_M3'!$B$4:$B$100,B15)+COUNTIF('BvsC_M4'!$B$4:$B$100,B15)+COUNTIF('BvsC_M5'!$B$4:$B$100,B15)+COUNTIF('BvsC_M6'!$B$4:$B$100,B15)</f>
        <v/>
      </c>
      <c r="D15" s="32">
        <f>SUMIF('AvsB_M1'!$B$4:$B$100,B15,'AvsB_M1'!$C$4:$C$100)+SUMIF('AvsB_M2'!$B$4:$B$100,B15,'AvsB_M2'!$C$4:$C$100)+SUMIF('AvsB_M3'!$B$4:$B$100,B15,'AvsB_M3'!$C$4:$C$100)+SUMIF('AvsB_M4'!$B$4:$B$100,B15,'AvsB_M4'!$C$4:$C$100)+SUMIF('AvsB_M5'!$B$4:$B$100,B15,'AvsB_M5'!$C$4:$C$100)+SUMIF('AvsB_M6'!$B$4:$B$100,B15,'AvsB_M6'!$C$4:$C$100)+SUMIF('CvsD_M1'!$B$4:$B$100,B15,'CvsD_M1'!$C$4:$C$100)+SUMIF('CvsD_M2'!$B$4:$B$100,B15,'CvsD_M2'!$C$4:$C$100)+SUMIF('CvsD_M3'!$B$4:$B$100,B15,'CvsD_M3'!$C$4:$C$100)+SUMIF('CvsD_M4'!$B$4:$B$100,B15,'CvsD_M4'!$C$4:$C$100)+SUMIF('CvsD_M5'!$B$4:$B$100,B15,'CvsD_M5'!$C$4:$C$100)+SUMIF('CvsD_M6'!$B$4:$B$100,B15,'CvsD_M6'!$C$4:$C$100)+SUMIF('AvsC_M1'!$B$4:$B$100,B15,'AvsC_M1'!$C$4:$C$100)+SUMIF('AvsC_M2'!$B$4:$B$100,B15,'AvsC_M2'!$C$4:$C$100)+SUMIF('AvsC_M3'!$B$4:$B$100,B15,'AvsC_M3'!$C$4:$C$100)+SUMIF('AvsC_M4'!$B$4:$B$100,B15,'AvsC_M4'!$C$4:$C$100)+SUMIF('AvsC_M5'!$B$4:$B$100,B15,'AvsC_M5'!$C$4:$C$100)+SUMIF('AvsC_M6'!$B$4:$B$100,B15,'AvsC_M6'!$C$4:$C$100)+SUMIF('BvsD_M1'!$B$4:$B$100,B15,'BvsD_M1'!$C$4:$C$100)+SUMIF('BvsD_M2'!$B$4:$B$100,B15,'BvsD_M2'!$C$4:$C$100)+SUMIF('BvsD_M3'!$B$4:$B$100,B15,'BvsD_M3'!$C$4:$C$100)+SUMIF('BvsD_M4'!$B$4:$B$100,B15,'BvsD_M4'!$C$4:$C$100)+SUMIF('BvsD_M5'!$B$4:$B$100,B15,'BvsD_M5'!$C$4:$C$100)+SUMIF('BvsD_M6'!$B$4:$B$100,B15,'BvsD_M6'!$C$4:$C$100)+SUMIF('AvsD_M1'!$B$4:$B$100,B15,'AvsD_M1'!$C$4:$C$100)+SUMIF('AvsD_M2'!$B$4:$B$100,B15,'AvsD_M2'!$C$4:$C$100)+SUMIF('AvsD_M3'!$B$4:$B$100,B15,'AvsD_M3'!$C$4:$C$100)+SUMIF('AvsD_M4'!$B$4:$B$100,B15,'AvsD_M4'!$C$4:$C$100)+SUMIF('AvsD_M5'!$B$4:$B$100,B15,'AvsD_M5'!$C$4:$C$100)+SUMIF('AvsD_M6'!$B$4:$B$100,B15,'AvsD_M6'!$C$4:$C$100)+SUMIF('BvsC_M1'!$B$4:$B$100,B15,'BvsC_M1'!$C$4:$C$100)+SUMIF('BvsC_M2'!$B$4:$B$100,B15,'BvsC_M2'!$C$4:$C$100)+SUMIF('BvsC_M3'!$B$4:$B$100,B15,'BvsC_M3'!$C$4:$C$100)+SUMIF('BvsC_M4'!$B$4:$B$100,B15,'BvsC_M4'!$C$4:$C$100)+SUMIF('BvsC_M5'!$B$4:$B$100,B15,'BvsC_M5'!$C$4:$C$100)+SUMIF('BvsC_M6'!$B$4:$B$100,B15,'BvsC_M6'!$C$4:$C$100)</f>
        <v/>
      </c>
      <c r="E15" s="32">
        <f>SUMIF('AvsB_M1'!$B$4:$B$100,B15,'AvsB_M1'!$D$4:$D$100)+SUMIF('AvsB_M2'!$B$4:$B$100,B15,'AvsB_M2'!$D$4:$D$100)+SUMIF('AvsB_M3'!$B$4:$B$100,B15,'AvsB_M3'!$D$4:$D$100)+SUMIF('AvsB_M4'!$B$4:$B$100,B15,'AvsB_M4'!$D$4:$D$100)+SUMIF('AvsB_M5'!$B$4:$B$100,B15,'AvsB_M5'!$D$4:$D$100)+SUMIF('AvsB_M6'!$B$4:$B$100,B15,'AvsB_M6'!$D$4:$D$100)+SUMIF('CvsD_M1'!$B$4:$B$100,B15,'CvsD_M1'!$D$4:$D$100)+SUMIF('CvsD_M2'!$B$4:$B$100,B15,'CvsD_M2'!$D$4:$D$100)+SUMIF('CvsD_M3'!$B$4:$B$100,B15,'CvsD_M3'!$D$4:$D$100)+SUMIF('CvsD_M4'!$B$4:$B$100,B15,'CvsD_M4'!$D$4:$D$100)+SUMIF('CvsD_M5'!$B$4:$B$100,B15,'CvsD_M5'!$D$4:$D$100)+SUMIF('CvsD_M6'!$B$4:$B$100,B15,'CvsD_M6'!$D$4:$D$100)+SUMIF('AvsC_M1'!$B$4:$B$100,B15,'AvsC_M1'!$D$4:$D$100)+SUMIF('AvsC_M2'!$B$4:$B$100,B15,'AvsC_M2'!$D$4:$D$100)+SUMIF('AvsC_M3'!$B$4:$B$100,B15,'AvsC_M3'!$D$4:$D$100)+SUMIF('AvsC_M4'!$B$4:$B$100,B15,'AvsC_M4'!$D$4:$D$100)+SUMIF('AvsC_M5'!$B$4:$B$100,B15,'AvsC_M5'!$D$4:$D$100)+SUMIF('AvsC_M6'!$B$4:$B$100,B15,'AvsC_M6'!$D$4:$D$100)+SUMIF('BvsD_M1'!$B$4:$B$100,B15,'BvsD_M1'!$D$4:$D$100)+SUMIF('BvsD_M2'!$B$4:$B$100,B15,'BvsD_M2'!$D$4:$D$100)+SUMIF('BvsD_M3'!$B$4:$B$100,B15,'BvsD_M3'!$D$4:$D$100)+SUMIF('BvsD_M4'!$B$4:$B$100,B15,'BvsD_M4'!$D$4:$D$100)+SUMIF('BvsD_M5'!$B$4:$B$100,B15,'BvsD_M5'!$D$4:$D$100)+SUMIF('BvsD_M6'!$B$4:$B$100,B15,'BvsD_M6'!$D$4:$D$100)+SUMIF('AvsD_M1'!$B$4:$B$100,B15,'AvsD_M1'!$D$4:$D$100)+SUMIF('AvsD_M2'!$B$4:$B$100,B15,'AvsD_M2'!$D$4:$D$100)+SUMIF('AvsD_M3'!$B$4:$B$100,B15,'AvsD_M3'!$D$4:$D$100)+SUMIF('AvsD_M4'!$B$4:$B$100,B15,'AvsD_M4'!$D$4:$D$100)+SUMIF('AvsD_M5'!$B$4:$B$100,B15,'AvsD_M5'!$D$4:$D$100)+SUMIF('AvsD_M6'!$B$4:$B$100,B15,'AvsD_M6'!$D$4:$D$100)+SUMIF('BvsC_M1'!$B$4:$B$100,B15,'BvsC_M1'!$D$4:$D$100)+SUMIF('BvsC_M2'!$B$4:$B$100,B15,'BvsC_M2'!$D$4:$D$100)+SUMIF('BvsC_M3'!$B$4:$B$100,B15,'BvsC_M3'!$D$4:$D$100)+SUMIF('BvsC_M4'!$B$4:$B$100,B15,'BvsC_M4'!$D$4:$D$100)+SUMIF('BvsC_M5'!$B$4:$B$100,B15,'BvsC_M5'!$D$4:$D$100)+SUMIF('BvsC_M6'!$B$4:$B$100,B15,'BvsC_M6'!$D$4:$D$100)</f>
        <v/>
      </c>
      <c r="F15" s="32">
        <f>SUMIF('AvsB_M1'!$B$4:$B$100,B15,'AvsB_M1'!$E$4:$E$100)+SUMIF('AvsB_M2'!$B$4:$B$100,B15,'AvsB_M2'!$E$4:$E$100)+SUMIF('AvsB_M3'!$B$4:$B$100,B15,'AvsB_M3'!$E$4:$E$100)+SUMIF('AvsB_M4'!$B$4:$B$100,B15,'AvsB_M4'!$E$4:$E$100)+SUMIF('AvsB_M5'!$B$4:$B$100,B15,'AvsB_M5'!$E$4:$E$100)+SUMIF('AvsB_M6'!$B$4:$B$100,B15,'AvsB_M6'!$E$4:$E$100)+SUMIF('CvsD_M1'!$B$4:$B$100,B15,'CvsD_M1'!$E$4:$E$100)+SUMIF('CvsD_M2'!$B$4:$B$100,B15,'CvsD_M2'!$E$4:$E$100)+SUMIF('CvsD_M3'!$B$4:$B$100,B15,'CvsD_M3'!$E$4:$E$100)+SUMIF('CvsD_M4'!$B$4:$B$100,B15,'CvsD_M4'!$E$4:$E$100)+SUMIF('CvsD_M5'!$B$4:$B$100,B15,'CvsD_M5'!$E$4:$E$100)+SUMIF('CvsD_M6'!$B$4:$B$100,B15,'CvsD_M6'!$E$4:$E$100)+SUMIF('AvsC_M1'!$B$4:$B$100,B15,'AvsC_M1'!$E$4:$E$100)+SUMIF('AvsC_M2'!$B$4:$B$100,B15,'AvsC_M2'!$E$4:$E$100)+SUMIF('AvsC_M3'!$B$4:$B$100,B15,'AvsC_M3'!$E$4:$E$100)+SUMIF('AvsC_M4'!$B$4:$B$100,B15,'AvsC_M4'!$E$4:$E$100)+SUMIF('AvsC_M5'!$B$4:$B$100,B15,'AvsC_M5'!$E$4:$E$100)+SUMIF('AvsC_M6'!$B$4:$B$100,B15,'AvsC_M6'!$E$4:$E$100)+SUMIF('BvsD_M1'!$B$4:$B$100,B15,'BvsD_M1'!$E$4:$E$100)+SUMIF('BvsD_M2'!$B$4:$B$100,B15,'BvsD_M2'!$E$4:$E$100)+SUMIF('BvsD_M3'!$B$4:$B$100,B15,'BvsD_M3'!$E$4:$E$100)+SUMIF('BvsD_M4'!$B$4:$B$100,B15,'BvsD_M4'!$E$4:$E$100)+SUMIF('BvsD_M5'!$B$4:$B$100,B15,'BvsD_M5'!$E$4:$E$100)+SUMIF('BvsD_M6'!$B$4:$B$100,B15,'BvsD_M6'!$E$4:$E$100)+SUMIF('AvsD_M1'!$B$4:$B$100,B15,'AvsD_M1'!$E$4:$E$100)+SUMIF('AvsD_M2'!$B$4:$B$100,B15,'AvsD_M2'!$E$4:$E$100)+SUMIF('AvsD_M3'!$B$4:$B$100,B15,'AvsD_M3'!$E$4:$E$100)+SUMIF('AvsD_M4'!$B$4:$B$100,B15,'AvsD_M4'!$E$4:$E$100)+SUMIF('AvsD_M5'!$B$4:$B$100,B15,'AvsD_M5'!$E$4:$E$100)+SUMIF('AvsD_M6'!$B$4:$B$100,B15,'AvsD_M6'!$E$4:$E$100)+SUMIF('BvsC_M1'!$B$4:$B$100,B15,'BvsC_M1'!$E$4:$E$100)+SUMIF('BvsC_M2'!$B$4:$B$100,B15,'BvsC_M2'!$E$4:$E$100)+SUMIF('BvsC_M3'!$B$4:$B$100,B15,'BvsC_M3'!$E$4:$E$100)+SUMIF('BvsC_M4'!$B$4:$B$100,B15,'BvsC_M4'!$E$4:$E$100)+SUMIF('BvsC_M5'!$B$4:$B$100,B15,'BvsC_M5'!$E$4:$E$100)+SUMIF('BvsC_M6'!$B$4:$B$100,B15,'BvsC_M6'!$E$4:$E$100)</f>
        <v/>
      </c>
      <c r="G15" s="32">
        <f>SUMIF('AvsB_M1'!$B$4:$B$100,B15,'AvsB_M1'!$F$4:$F$100)+SUMIF('AvsB_M2'!$B$4:$B$100,B15,'AvsB_M2'!$F$4:$F$100)+SUMIF('AvsB_M3'!$B$4:$B$100,B15,'AvsB_M3'!$F$4:$F$100)+SUMIF('AvsB_M4'!$B$4:$B$100,B15,'AvsB_M4'!$F$4:$F$100)+SUMIF('AvsB_M5'!$B$4:$B$100,B15,'AvsB_M5'!$F$4:$F$100)+SUMIF('AvsB_M6'!$B$4:$B$100,B15,'AvsB_M6'!$F$4:$F$100)+SUMIF('CvsD_M1'!$B$4:$B$100,B15,'CvsD_M1'!$F$4:$F$100)+SUMIF('CvsD_M2'!$B$4:$B$100,B15,'CvsD_M2'!$F$4:$F$100)+SUMIF('CvsD_M3'!$B$4:$B$100,B15,'CvsD_M3'!$F$4:$F$100)+SUMIF('CvsD_M4'!$B$4:$B$100,B15,'CvsD_M4'!$F$4:$F$100)+SUMIF('CvsD_M5'!$B$4:$B$100,B15,'CvsD_M5'!$F$4:$F$100)+SUMIF('CvsD_M6'!$B$4:$B$100,B15,'CvsD_M6'!$F$4:$F$100)+SUMIF('AvsC_M1'!$B$4:$B$100,B15,'AvsC_M1'!$F$4:$F$100)+SUMIF('AvsC_M2'!$B$4:$B$100,B15,'AvsC_M2'!$F$4:$F$100)+SUMIF('AvsC_M3'!$B$4:$B$100,B15,'AvsC_M3'!$F$4:$F$100)+SUMIF('AvsC_M4'!$B$4:$B$100,B15,'AvsC_M4'!$F$4:$F$100)+SUMIF('AvsC_M5'!$B$4:$B$100,B15,'AvsC_M5'!$F$4:$F$100)+SUMIF('AvsC_M6'!$B$4:$B$100,B15,'AvsC_M6'!$F$4:$F$100)+SUMIF('BvsD_M1'!$B$4:$B$100,B15,'BvsD_M1'!$F$4:$F$100)+SUMIF('BvsD_M2'!$B$4:$B$100,B15,'BvsD_M2'!$F$4:$F$100)+SUMIF('BvsD_M3'!$B$4:$B$100,B15,'BvsD_M3'!$F$4:$F$100)+SUMIF('BvsD_M4'!$B$4:$B$100,B15,'BvsD_M4'!$F$4:$F$100)+SUMIF('BvsD_M5'!$B$4:$B$100,B15,'BvsD_M5'!$F$4:$F$100)+SUMIF('BvsD_M6'!$B$4:$B$100,B15,'BvsD_M6'!$F$4:$F$100)+SUMIF('AvsD_M1'!$B$4:$B$100,B15,'AvsD_M1'!$F$4:$F$100)+SUMIF('AvsD_M2'!$B$4:$B$100,B15,'AvsD_M2'!$F$4:$F$100)+SUMIF('AvsD_M3'!$B$4:$B$100,B15,'AvsD_M3'!$F$4:$F$100)+SUMIF('AvsD_M4'!$B$4:$B$100,B15,'AvsD_M4'!$F$4:$F$100)+SUMIF('AvsD_M5'!$B$4:$B$100,B15,'AvsD_M5'!$F$4:$F$100)+SUMIF('AvsD_M6'!$B$4:$B$100,B15,'AvsD_M6'!$F$4:$F$100)+SUMIF('BvsC_M1'!$B$4:$B$100,B15,'BvsC_M1'!$F$4:$F$100)+SUMIF('BvsC_M2'!$B$4:$B$100,B15,'BvsC_M2'!$F$4:$F$100)+SUMIF('BvsC_M3'!$B$4:$B$100,B15,'BvsC_M3'!$F$4:$F$100)+SUMIF('BvsC_M4'!$B$4:$B$100,B15,'BvsC_M4'!$F$4:$F$100)+SUMIF('BvsC_M5'!$B$4:$B$100,B15,'BvsC_M5'!$F$4:$F$100)+SUMIF('BvsC_M6'!$B$4:$B$100,B15,'BvsC_M6'!$F$4:$F$100)</f>
        <v/>
      </c>
      <c r="H15" s="32">
        <f>SUMIF('AvsB_M1'!$B$4:$B$100,B15,'AvsB_M1'!$G$4:$G$100)+SUMIF('AvsB_M2'!$B$4:$B$100,B15,'AvsB_M2'!$G$4:$G$100)+SUMIF('AvsB_M3'!$B$4:$B$100,B15,'AvsB_M3'!$G$4:$G$100)+SUMIF('AvsB_M4'!$B$4:$B$100,B15,'AvsB_M4'!$G$4:$G$100)+SUMIF('AvsB_M5'!$B$4:$B$100,B15,'AvsB_M5'!$G$4:$G$100)+SUMIF('AvsB_M6'!$B$4:$B$100,B15,'AvsB_M6'!$G$4:$G$100)+SUMIF('CvsD_M1'!$B$4:$B$100,B15,'CvsD_M1'!$G$4:$G$100)+SUMIF('CvsD_M2'!$B$4:$B$100,B15,'CvsD_M2'!$G$4:$G$100)+SUMIF('CvsD_M3'!$B$4:$B$100,B15,'CvsD_M3'!$G$4:$G$100)+SUMIF('CvsD_M4'!$B$4:$B$100,B15,'CvsD_M4'!$G$4:$G$100)+SUMIF('CvsD_M5'!$B$4:$B$100,B15,'CvsD_M5'!$G$4:$G$100)+SUMIF('CvsD_M6'!$B$4:$B$100,B15,'CvsD_M6'!$G$4:$G$100)+SUMIF('AvsC_M1'!$B$4:$B$100,B15,'AvsC_M1'!$G$4:$G$100)+SUMIF('AvsC_M2'!$B$4:$B$100,B15,'AvsC_M2'!$G$4:$G$100)+SUMIF('AvsC_M3'!$B$4:$B$100,B15,'AvsC_M3'!$G$4:$G$100)+SUMIF('AvsC_M4'!$B$4:$B$100,B15,'AvsC_M4'!$G$4:$G$100)+SUMIF('AvsC_M5'!$B$4:$B$100,B15,'AvsC_M5'!$G$4:$G$100)+SUMIF('AvsC_M6'!$B$4:$B$100,B15,'AvsC_M6'!$G$4:$G$100)+SUMIF('BvsD_M1'!$B$4:$B$100,B15,'BvsD_M1'!$G$4:$G$100)+SUMIF('BvsD_M2'!$B$4:$B$100,B15,'BvsD_M2'!$G$4:$G$100)+SUMIF('BvsD_M3'!$B$4:$B$100,B15,'BvsD_M3'!$G$4:$G$100)+SUMIF('BvsD_M4'!$B$4:$B$100,B15,'BvsD_M4'!$G$4:$G$100)+SUMIF('BvsD_M5'!$B$4:$B$100,B15,'BvsD_M5'!$G$4:$G$100)+SUMIF('BvsD_M6'!$B$4:$B$100,B15,'BvsD_M6'!$G$4:$G$100)+SUMIF('AvsD_M1'!$B$4:$B$100,B15,'AvsD_M1'!$G$4:$G$100)+SUMIF('AvsD_M2'!$B$4:$B$100,B15,'AvsD_M2'!$G$4:$G$100)+SUMIF('AvsD_M3'!$B$4:$B$100,B15,'AvsD_M3'!$G$4:$G$100)+SUMIF('AvsD_M4'!$B$4:$B$100,B15,'AvsD_M4'!$G$4:$G$100)+SUMIF('AvsD_M5'!$B$4:$B$100,B15,'AvsD_M5'!$G$4:$G$100)+SUMIF('AvsD_M6'!$B$4:$B$100,B15,'AvsD_M6'!$G$4:$G$100)+SUMIF('BvsC_M1'!$B$4:$B$100,B15,'BvsC_M1'!$G$4:$G$100)+SUMIF('BvsC_M2'!$B$4:$B$100,B15,'BvsC_M2'!$G$4:$G$100)+SUMIF('BvsC_M3'!$B$4:$B$100,B15,'BvsC_M3'!$G$4:$G$100)+SUMIF('BvsC_M4'!$B$4:$B$100,B15,'BvsC_M4'!$G$4:$G$100)+SUMIF('BvsC_M5'!$B$4:$B$100,B15,'BvsC_M5'!$G$4:$G$100)+SUMIF('BvsC_M6'!$B$4:$B$100,B15,'BvsC_M6'!$G$4:$G$100)</f>
        <v/>
      </c>
      <c r="I15" s="32">
        <f>SUMIF('AvsB_M1'!$B$4:$B$100,B15,'AvsB_M1'!$H$4:$H$100)+SUMIF('AvsB_M2'!$B$4:$B$100,B15,'AvsB_M2'!$H$4:$H$100)+SUMIF('AvsB_M3'!$B$4:$B$100,B15,'AvsB_M3'!$H$4:$H$100)+SUMIF('AvsB_M4'!$B$4:$B$100,B15,'AvsB_M4'!$H$4:$H$100)+SUMIF('AvsB_M5'!$B$4:$B$100,B15,'AvsB_M5'!$H$4:$H$100)+SUMIF('AvsB_M6'!$B$4:$B$100,B15,'AvsB_M6'!$H$4:$H$100)+SUMIF('CvsD_M1'!$B$4:$B$100,B15,'CvsD_M1'!$H$4:$H$100)+SUMIF('CvsD_M2'!$B$4:$B$100,B15,'CvsD_M2'!$H$4:$H$100)+SUMIF('CvsD_M3'!$B$4:$B$100,B15,'CvsD_M3'!$H$4:$H$100)+SUMIF('CvsD_M4'!$B$4:$B$100,B15,'CvsD_M4'!$H$4:$H$100)+SUMIF('CvsD_M5'!$B$4:$B$100,B15,'CvsD_M5'!$H$4:$H$100)+SUMIF('CvsD_M6'!$B$4:$B$100,B15,'CvsD_M6'!$H$4:$H$100)+SUMIF('AvsC_M1'!$B$4:$B$100,B15,'AvsC_M1'!$H$4:$H$100)+SUMIF('AvsC_M2'!$B$4:$B$100,B15,'AvsC_M2'!$H$4:$H$100)+SUMIF('AvsC_M3'!$B$4:$B$100,B15,'AvsC_M3'!$H$4:$H$100)+SUMIF('AvsC_M4'!$B$4:$B$100,B15,'AvsC_M4'!$H$4:$H$100)+SUMIF('AvsC_M5'!$B$4:$B$100,B15,'AvsC_M5'!$H$4:$H$100)+SUMIF('AvsC_M6'!$B$4:$B$100,B15,'AvsC_M6'!$H$4:$H$100)+SUMIF('BvsD_M1'!$B$4:$B$100,B15,'BvsD_M1'!$H$4:$H$100)+SUMIF('BvsD_M2'!$B$4:$B$100,B15,'BvsD_M2'!$H$4:$H$100)+SUMIF('BvsD_M3'!$B$4:$B$100,B15,'BvsD_M3'!$H$4:$H$100)+SUMIF('BvsD_M4'!$B$4:$B$100,B15,'BvsD_M4'!$H$4:$H$100)+SUMIF('BvsD_M5'!$B$4:$B$100,B15,'BvsD_M5'!$H$4:$H$100)+SUMIF('BvsD_M6'!$B$4:$B$100,B15,'BvsD_M6'!$H$4:$H$100)+SUMIF('AvsD_M1'!$B$4:$B$100,B15,'AvsD_M1'!$H$4:$H$100)+SUMIF('AvsD_M2'!$B$4:$B$100,B15,'AvsD_M2'!$H$4:$H$100)+SUMIF('AvsD_M3'!$B$4:$B$100,B15,'AvsD_M3'!$H$4:$H$100)+SUMIF('AvsD_M4'!$B$4:$B$100,B15,'AvsD_M4'!$H$4:$H$100)+SUMIF('AvsD_M5'!$B$4:$B$100,B15,'AvsD_M5'!$H$4:$H$100)+SUMIF('AvsD_M6'!$B$4:$B$100,B15,'AvsD_M6'!$H$4:$H$100)+SUMIF('BvsC_M1'!$B$4:$B$100,B15,'BvsC_M1'!$H$4:$H$100)+SUMIF('BvsC_M2'!$B$4:$B$100,B15,'BvsC_M2'!$H$4:$H$100)+SUMIF('BvsC_M3'!$B$4:$B$100,B15,'BvsC_M3'!$H$4:$H$100)+SUMIF('BvsC_M4'!$B$4:$B$100,B15,'BvsC_M4'!$H$4:$H$100)+SUMIF('BvsC_M5'!$B$4:$B$100,B15,'BvsC_M5'!$H$4:$H$100)+SUMIF('BvsC_M6'!$B$4:$B$100,B15,'BvsC_M6'!$H$4:$H$100)</f>
        <v/>
      </c>
      <c r="J15" s="32">
        <f>SUMIF('AvsB_M1'!$B$4:$B$100,B15,'AvsB_M1'!$I$4:$I$100)+SUMIF('AvsB_M2'!$B$4:$B$100,B15,'AvsB_M2'!$I$4:$I$100)+SUMIF('AvsB_M3'!$B$4:$B$100,B15,'AvsB_M3'!$I$4:$I$100)+SUMIF('AvsB_M4'!$B$4:$B$100,B15,'AvsB_M4'!$I$4:$I$100)+SUMIF('AvsB_M5'!$B$4:$B$100,B15,'AvsB_M5'!$I$4:$I$100)+SUMIF('AvsB_M6'!$B$4:$B$100,B15,'AvsB_M6'!$I$4:$I$100)+SUMIF('CvsD_M1'!$B$4:$B$100,B15,'CvsD_M1'!$I$4:$I$100)+SUMIF('CvsD_M2'!$B$4:$B$100,B15,'CvsD_M2'!$I$4:$I$100)+SUMIF('CvsD_M3'!$B$4:$B$100,B15,'CvsD_M3'!$I$4:$I$100)+SUMIF('CvsD_M4'!$B$4:$B$100,B15,'CvsD_M4'!$I$4:$I$100)+SUMIF('CvsD_M5'!$B$4:$B$100,B15,'CvsD_M5'!$I$4:$I$100)+SUMIF('CvsD_M6'!$B$4:$B$100,B15,'CvsD_M6'!$I$4:$I$100)+SUMIF('AvsC_M1'!$B$4:$B$100,B15,'AvsC_M1'!$I$4:$I$100)+SUMIF('AvsC_M2'!$B$4:$B$100,B15,'AvsC_M2'!$I$4:$I$100)+SUMIF('AvsC_M3'!$B$4:$B$100,B15,'AvsC_M3'!$I$4:$I$100)+SUMIF('AvsC_M4'!$B$4:$B$100,B15,'AvsC_M4'!$I$4:$I$100)+SUMIF('AvsC_M5'!$B$4:$B$100,B15,'AvsC_M5'!$I$4:$I$100)+SUMIF('AvsC_M6'!$B$4:$B$100,B15,'AvsC_M6'!$I$4:$I$100)+SUMIF('BvsD_M1'!$B$4:$B$100,B15,'BvsD_M1'!$I$4:$I$100)+SUMIF('BvsD_M2'!$B$4:$B$100,B15,'BvsD_M2'!$I$4:$I$100)+SUMIF('BvsD_M3'!$B$4:$B$100,B15,'BvsD_M3'!$I$4:$I$100)+SUMIF('BvsD_M4'!$B$4:$B$100,B15,'BvsD_M4'!$I$4:$I$100)+SUMIF('BvsD_M5'!$B$4:$B$100,B15,'BvsD_M5'!$I$4:$I$100)+SUMIF('BvsD_M6'!$B$4:$B$100,B15,'BvsD_M6'!$I$4:$I$100)+SUMIF('AvsD_M1'!$B$4:$B$100,B15,'AvsD_M1'!$I$4:$I$100)+SUMIF('AvsD_M2'!$B$4:$B$100,B15,'AvsD_M2'!$I$4:$I$100)+SUMIF('AvsD_M3'!$B$4:$B$100,B15,'AvsD_M3'!$I$4:$I$100)+SUMIF('AvsD_M4'!$B$4:$B$100,B15,'AvsD_M4'!$I$4:$I$100)+SUMIF('AvsD_M5'!$B$4:$B$100,B15,'AvsD_M5'!$I$4:$I$100)+SUMIF('AvsD_M6'!$B$4:$B$100,B15,'AvsD_M6'!$I$4:$I$100)+SUMIF('BvsC_M1'!$B$4:$B$100,B15,'BvsC_M1'!$I$4:$I$100)+SUMIF('BvsC_M2'!$B$4:$B$100,B15,'BvsC_M2'!$I$4:$I$100)+SUMIF('BvsC_M3'!$B$4:$B$100,B15,'BvsC_M3'!$I$4:$I$100)+SUMIF('BvsC_M4'!$B$4:$B$100,B15,'BvsC_M4'!$I$4:$I$100)+SUMIF('BvsC_M5'!$B$4:$B$100,B15,'BvsC_M5'!$I$4:$I$100)+SUMIF('BvsC_M6'!$B$4:$B$100,B15,'BvsC_M6'!$I$4:$I$100)</f>
        <v/>
      </c>
    </row>
    <row r="16">
      <c r="A16" s="32" t="n">
        <v>13</v>
      </c>
      <c r="B16" s="32" t="inlineStr">
        <is>
          <t>Zero_Hour</t>
        </is>
      </c>
      <c r="C16" s="32">
        <f>COUNTIF('AvsB_M1'!$B$4:$B$100,B16)+COUNTIF('AvsB_M2'!$B$4:$B$100,B16)+COUNTIF('AvsB_M3'!$B$4:$B$100,B16)+COUNTIF('AvsB_M4'!$B$4:$B$100,B16)+COUNTIF('AvsB_M5'!$B$4:$B$100,B16)+COUNTIF('AvsB_M6'!$B$4:$B$100,B16)+COUNTIF('CvsD_M1'!$B$4:$B$100,B16)+COUNTIF('CvsD_M2'!$B$4:$B$100,B16)+COUNTIF('CvsD_M3'!$B$4:$B$100,B16)+COUNTIF('CvsD_M4'!$B$4:$B$100,B16)+COUNTIF('CvsD_M5'!$B$4:$B$100,B16)+COUNTIF('CvsD_M6'!$B$4:$B$100,B16)+COUNTIF('AvsC_M1'!$B$4:$B$100,B16)+COUNTIF('AvsC_M2'!$B$4:$B$100,B16)+COUNTIF('AvsC_M3'!$B$4:$B$100,B16)+COUNTIF('AvsC_M4'!$B$4:$B$100,B16)+COUNTIF('AvsC_M5'!$B$4:$B$100,B16)+COUNTIF('AvsC_M6'!$B$4:$B$100,B16)+COUNTIF('BvsD_M1'!$B$4:$B$100,B16)+COUNTIF('BvsD_M2'!$B$4:$B$100,B16)+COUNTIF('BvsD_M3'!$B$4:$B$100,B16)+COUNTIF('BvsD_M4'!$B$4:$B$100,B16)+COUNTIF('BvsD_M5'!$B$4:$B$100,B16)+COUNTIF('BvsD_M6'!$B$4:$B$100,B16)+COUNTIF('AvsD_M1'!$B$4:$B$100,B16)+COUNTIF('AvsD_M2'!$B$4:$B$100,B16)+COUNTIF('AvsD_M3'!$B$4:$B$100,B16)+COUNTIF('AvsD_M4'!$B$4:$B$100,B16)+COUNTIF('AvsD_M5'!$B$4:$B$100,B16)+COUNTIF('AvsD_M6'!$B$4:$B$100,B16)+COUNTIF('BvsC_M1'!$B$4:$B$100,B16)+COUNTIF('BvsC_M2'!$B$4:$B$100,B16)+COUNTIF('BvsC_M3'!$B$4:$B$100,B16)+COUNTIF('BvsC_M4'!$B$4:$B$100,B16)+COUNTIF('BvsC_M5'!$B$4:$B$100,B16)+COUNTIF('BvsC_M6'!$B$4:$B$100,B16)</f>
        <v/>
      </c>
      <c r="D16" s="32">
        <f>SUMIF('AvsB_M1'!$B$4:$B$100,B16,'AvsB_M1'!$C$4:$C$100)+SUMIF('AvsB_M2'!$B$4:$B$100,B16,'AvsB_M2'!$C$4:$C$100)+SUMIF('AvsB_M3'!$B$4:$B$100,B16,'AvsB_M3'!$C$4:$C$100)+SUMIF('AvsB_M4'!$B$4:$B$100,B16,'AvsB_M4'!$C$4:$C$100)+SUMIF('AvsB_M5'!$B$4:$B$100,B16,'AvsB_M5'!$C$4:$C$100)+SUMIF('AvsB_M6'!$B$4:$B$100,B16,'AvsB_M6'!$C$4:$C$100)+SUMIF('CvsD_M1'!$B$4:$B$100,B16,'CvsD_M1'!$C$4:$C$100)+SUMIF('CvsD_M2'!$B$4:$B$100,B16,'CvsD_M2'!$C$4:$C$100)+SUMIF('CvsD_M3'!$B$4:$B$100,B16,'CvsD_M3'!$C$4:$C$100)+SUMIF('CvsD_M4'!$B$4:$B$100,B16,'CvsD_M4'!$C$4:$C$100)+SUMIF('CvsD_M5'!$B$4:$B$100,B16,'CvsD_M5'!$C$4:$C$100)+SUMIF('CvsD_M6'!$B$4:$B$100,B16,'CvsD_M6'!$C$4:$C$100)+SUMIF('AvsC_M1'!$B$4:$B$100,B16,'AvsC_M1'!$C$4:$C$100)+SUMIF('AvsC_M2'!$B$4:$B$100,B16,'AvsC_M2'!$C$4:$C$100)+SUMIF('AvsC_M3'!$B$4:$B$100,B16,'AvsC_M3'!$C$4:$C$100)+SUMIF('AvsC_M4'!$B$4:$B$100,B16,'AvsC_M4'!$C$4:$C$100)+SUMIF('AvsC_M5'!$B$4:$B$100,B16,'AvsC_M5'!$C$4:$C$100)+SUMIF('AvsC_M6'!$B$4:$B$100,B16,'AvsC_M6'!$C$4:$C$100)+SUMIF('BvsD_M1'!$B$4:$B$100,B16,'BvsD_M1'!$C$4:$C$100)+SUMIF('BvsD_M2'!$B$4:$B$100,B16,'BvsD_M2'!$C$4:$C$100)+SUMIF('BvsD_M3'!$B$4:$B$100,B16,'BvsD_M3'!$C$4:$C$100)+SUMIF('BvsD_M4'!$B$4:$B$100,B16,'BvsD_M4'!$C$4:$C$100)+SUMIF('BvsD_M5'!$B$4:$B$100,B16,'BvsD_M5'!$C$4:$C$100)+SUMIF('BvsD_M6'!$B$4:$B$100,B16,'BvsD_M6'!$C$4:$C$100)+SUMIF('AvsD_M1'!$B$4:$B$100,B16,'AvsD_M1'!$C$4:$C$100)+SUMIF('AvsD_M2'!$B$4:$B$100,B16,'AvsD_M2'!$C$4:$C$100)+SUMIF('AvsD_M3'!$B$4:$B$100,B16,'AvsD_M3'!$C$4:$C$100)+SUMIF('AvsD_M4'!$B$4:$B$100,B16,'AvsD_M4'!$C$4:$C$100)+SUMIF('AvsD_M5'!$B$4:$B$100,B16,'AvsD_M5'!$C$4:$C$100)+SUMIF('AvsD_M6'!$B$4:$B$100,B16,'AvsD_M6'!$C$4:$C$100)+SUMIF('BvsC_M1'!$B$4:$B$100,B16,'BvsC_M1'!$C$4:$C$100)+SUMIF('BvsC_M2'!$B$4:$B$100,B16,'BvsC_M2'!$C$4:$C$100)+SUMIF('BvsC_M3'!$B$4:$B$100,B16,'BvsC_M3'!$C$4:$C$100)+SUMIF('BvsC_M4'!$B$4:$B$100,B16,'BvsC_M4'!$C$4:$C$100)+SUMIF('BvsC_M5'!$B$4:$B$100,B16,'BvsC_M5'!$C$4:$C$100)+SUMIF('BvsC_M6'!$B$4:$B$100,B16,'BvsC_M6'!$C$4:$C$100)</f>
        <v/>
      </c>
      <c r="E16" s="32">
        <f>SUMIF('AvsB_M1'!$B$4:$B$100,B16,'AvsB_M1'!$D$4:$D$100)+SUMIF('AvsB_M2'!$B$4:$B$100,B16,'AvsB_M2'!$D$4:$D$100)+SUMIF('AvsB_M3'!$B$4:$B$100,B16,'AvsB_M3'!$D$4:$D$100)+SUMIF('AvsB_M4'!$B$4:$B$100,B16,'AvsB_M4'!$D$4:$D$100)+SUMIF('AvsB_M5'!$B$4:$B$100,B16,'AvsB_M5'!$D$4:$D$100)+SUMIF('AvsB_M6'!$B$4:$B$100,B16,'AvsB_M6'!$D$4:$D$100)+SUMIF('CvsD_M1'!$B$4:$B$100,B16,'CvsD_M1'!$D$4:$D$100)+SUMIF('CvsD_M2'!$B$4:$B$100,B16,'CvsD_M2'!$D$4:$D$100)+SUMIF('CvsD_M3'!$B$4:$B$100,B16,'CvsD_M3'!$D$4:$D$100)+SUMIF('CvsD_M4'!$B$4:$B$100,B16,'CvsD_M4'!$D$4:$D$100)+SUMIF('CvsD_M5'!$B$4:$B$100,B16,'CvsD_M5'!$D$4:$D$100)+SUMIF('CvsD_M6'!$B$4:$B$100,B16,'CvsD_M6'!$D$4:$D$100)+SUMIF('AvsC_M1'!$B$4:$B$100,B16,'AvsC_M1'!$D$4:$D$100)+SUMIF('AvsC_M2'!$B$4:$B$100,B16,'AvsC_M2'!$D$4:$D$100)+SUMIF('AvsC_M3'!$B$4:$B$100,B16,'AvsC_M3'!$D$4:$D$100)+SUMIF('AvsC_M4'!$B$4:$B$100,B16,'AvsC_M4'!$D$4:$D$100)+SUMIF('AvsC_M5'!$B$4:$B$100,B16,'AvsC_M5'!$D$4:$D$100)+SUMIF('AvsC_M6'!$B$4:$B$100,B16,'AvsC_M6'!$D$4:$D$100)+SUMIF('BvsD_M1'!$B$4:$B$100,B16,'BvsD_M1'!$D$4:$D$100)+SUMIF('BvsD_M2'!$B$4:$B$100,B16,'BvsD_M2'!$D$4:$D$100)+SUMIF('BvsD_M3'!$B$4:$B$100,B16,'BvsD_M3'!$D$4:$D$100)+SUMIF('BvsD_M4'!$B$4:$B$100,B16,'BvsD_M4'!$D$4:$D$100)+SUMIF('BvsD_M5'!$B$4:$B$100,B16,'BvsD_M5'!$D$4:$D$100)+SUMIF('BvsD_M6'!$B$4:$B$100,B16,'BvsD_M6'!$D$4:$D$100)+SUMIF('AvsD_M1'!$B$4:$B$100,B16,'AvsD_M1'!$D$4:$D$100)+SUMIF('AvsD_M2'!$B$4:$B$100,B16,'AvsD_M2'!$D$4:$D$100)+SUMIF('AvsD_M3'!$B$4:$B$100,B16,'AvsD_M3'!$D$4:$D$100)+SUMIF('AvsD_M4'!$B$4:$B$100,B16,'AvsD_M4'!$D$4:$D$100)+SUMIF('AvsD_M5'!$B$4:$B$100,B16,'AvsD_M5'!$D$4:$D$100)+SUMIF('AvsD_M6'!$B$4:$B$100,B16,'AvsD_M6'!$D$4:$D$100)+SUMIF('BvsC_M1'!$B$4:$B$100,B16,'BvsC_M1'!$D$4:$D$100)+SUMIF('BvsC_M2'!$B$4:$B$100,B16,'BvsC_M2'!$D$4:$D$100)+SUMIF('BvsC_M3'!$B$4:$B$100,B16,'BvsC_M3'!$D$4:$D$100)+SUMIF('BvsC_M4'!$B$4:$B$100,B16,'BvsC_M4'!$D$4:$D$100)+SUMIF('BvsC_M5'!$B$4:$B$100,B16,'BvsC_M5'!$D$4:$D$100)+SUMIF('BvsC_M6'!$B$4:$B$100,B16,'BvsC_M6'!$D$4:$D$100)</f>
        <v/>
      </c>
      <c r="F16" s="32">
        <f>SUMIF('AvsB_M1'!$B$4:$B$100,B16,'AvsB_M1'!$E$4:$E$100)+SUMIF('AvsB_M2'!$B$4:$B$100,B16,'AvsB_M2'!$E$4:$E$100)+SUMIF('AvsB_M3'!$B$4:$B$100,B16,'AvsB_M3'!$E$4:$E$100)+SUMIF('AvsB_M4'!$B$4:$B$100,B16,'AvsB_M4'!$E$4:$E$100)+SUMIF('AvsB_M5'!$B$4:$B$100,B16,'AvsB_M5'!$E$4:$E$100)+SUMIF('AvsB_M6'!$B$4:$B$100,B16,'AvsB_M6'!$E$4:$E$100)+SUMIF('CvsD_M1'!$B$4:$B$100,B16,'CvsD_M1'!$E$4:$E$100)+SUMIF('CvsD_M2'!$B$4:$B$100,B16,'CvsD_M2'!$E$4:$E$100)+SUMIF('CvsD_M3'!$B$4:$B$100,B16,'CvsD_M3'!$E$4:$E$100)+SUMIF('CvsD_M4'!$B$4:$B$100,B16,'CvsD_M4'!$E$4:$E$100)+SUMIF('CvsD_M5'!$B$4:$B$100,B16,'CvsD_M5'!$E$4:$E$100)+SUMIF('CvsD_M6'!$B$4:$B$100,B16,'CvsD_M6'!$E$4:$E$100)+SUMIF('AvsC_M1'!$B$4:$B$100,B16,'AvsC_M1'!$E$4:$E$100)+SUMIF('AvsC_M2'!$B$4:$B$100,B16,'AvsC_M2'!$E$4:$E$100)+SUMIF('AvsC_M3'!$B$4:$B$100,B16,'AvsC_M3'!$E$4:$E$100)+SUMIF('AvsC_M4'!$B$4:$B$100,B16,'AvsC_M4'!$E$4:$E$100)+SUMIF('AvsC_M5'!$B$4:$B$100,B16,'AvsC_M5'!$E$4:$E$100)+SUMIF('AvsC_M6'!$B$4:$B$100,B16,'AvsC_M6'!$E$4:$E$100)+SUMIF('BvsD_M1'!$B$4:$B$100,B16,'BvsD_M1'!$E$4:$E$100)+SUMIF('BvsD_M2'!$B$4:$B$100,B16,'BvsD_M2'!$E$4:$E$100)+SUMIF('BvsD_M3'!$B$4:$B$100,B16,'BvsD_M3'!$E$4:$E$100)+SUMIF('BvsD_M4'!$B$4:$B$100,B16,'BvsD_M4'!$E$4:$E$100)+SUMIF('BvsD_M5'!$B$4:$B$100,B16,'BvsD_M5'!$E$4:$E$100)+SUMIF('BvsD_M6'!$B$4:$B$100,B16,'BvsD_M6'!$E$4:$E$100)+SUMIF('AvsD_M1'!$B$4:$B$100,B16,'AvsD_M1'!$E$4:$E$100)+SUMIF('AvsD_M2'!$B$4:$B$100,B16,'AvsD_M2'!$E$4:$E$100)+SUMIF('AvsD_M3'!$B$4:$B$100,B16,'AvsD_M3'!$E$4:$E$100)+SUMIF('AvsD_M4'!$B$4:$B$100,B16,'AvsD_M4'!$E$4:$E$100)+SUMIF('AvsD_M5'!$B$4:$B$100,B16,'AvsD_M5'!$E$4:$E$100)+SUMIF('AvsD_M6'!$B$4:$B$100,B16,'AvsD_M6'!$E$4:$E$100)+SUMIF('BvsC_M1'!$B$4:$B$100,B16,'BvsC_M1'!$E$4:$E$100)+SUMIF('BvsC_M2'!$B$4:$B$100,B16,'BvsC_M2'!$E$4:$E$100)+SUMIF('BvsC_M3'!$B$4:$B$100,B16,'BvsC_M3'!$E$4:$E$100)+SUMIF('BvsC_M4'!$B$4:$B$100,B16,'BvsC_M4'!$E$4:$E$100)+SUMIF('BvsC_M5'!$B$4:$B$100,B16,'BvsC_M5'!$E$4:$E$100)+SUMIF('BvsC_M6'!$B$4:$B$100,B16,'BvsC_M6'!$E$4:$E$100)</f>
        <v/>
      </c>
      <c r="G16" s="32">
        <f>SUMIF('AvsB_M1'!$B$4:$B$100,B16,'AvsB_M1'!$F$4:$F$100)+SUMIF('AvsB_M2'!$B$4:$B$100,B16,'AvsB_M2'!$F$4:$F$100)+SUMIF('AvsB_M3'!$B$4:$B$100,B16,'AvsB_M3'!$F$4:$F$100)+SUMIF('AvsB_M4'!$B$4:$B$100,B16,'AvsB_M4'!$F$4:$F$100)+SUMIF('AvsB_M5'!$B$4:$B$100,B16,'AvsB_M5'!$F$4:$F$100)+SUMIF('AvsB_M6'!$B$4:$B$100,B16,'AvsB_M6'!$F$4:$F$100)+SUMIF('CvsD_M1'!$B$4:$B$100,B16,'CvsD_M1'!$F$4:$F$100)+SUMIF('CvsD_M2'!$B$4:$B$100,B16,'CvsD_M2'!$F$4:$F$100)+SUMIF('CvsD_M3'!$B$4:$B$100,B16,'CvsD_M3'!$F$4:$F$100)+SUMIF('CvsD_M4'!$B$4:$B$100,B16,'CvsD_M4'!$F$4:$F$100)+SUMIF('CvsD_M5'!$B$4:$B$100,B16,'CvsD_M5'!$F$4:$F$100)+SUMIF('CvsD_M6'!$B$4:$B$100,B16,'CvsD_M6'!$F$4:$F$100)+SUMIF('AvsC_M1'!$B$4:$B$100,B16,'AvsC_M1'!$F$4:$F$100)+SUMIF('AvsC_M2'!$B$4:$B$100,B16,'AvsC_M2'!$F$4:$F$100)+SUMIF('AvsC_M3'!$B$4:$B$100,B16,'AvsC_M3'!$F$4:$F$100)+SUMIF('AvsC_M4'!$B$4:$B$100,B16,'AvsC_M4'!$F$4:$F$100)+SUMIF('AvsC_M5'!$B$4:$B$100,B16,'AvsC_M5'!$F$4:$F$100)+SUMIF('AvsC_M6'!$B$4:$B$100,B16,'AvsC_M6'!$F$4:$F$100)+SUMIF('BvsD_M1'!$B$4:$B$100,B16,'BvsD_M1'!$F$4:$F$100)+SUMIF('BvsD_M2'!$B$4:$B$100,B16,'BvsD_M2'!$F$4:$F$100)+SUMIF('BvsD_M3'!$B$4:$B$100,B16,'BvsD_M3'!$F$4:$F$100)+SUMIF('BvsD_M4'!$B$4:$B$100,B16,'BvsD_M4'!$F$4:$F$100)+SUMIF('BvsD_M5'!$B$4:$B$100,B16,'BvsD_M5'!$F$4:$F$100)+SUMIF('BvsD_M6'!$B$4:$B$100,B16,'BvsD_M6'!$F$4:$F$100)+SUMIF('AvsD_M1'!$B$4:$B$100,B16,'AvsD_M1'!$F$4:$F$100)+SUMIF('AvsD_M2'!$B$4:$B$100,B16,'AvsD_M2'!$F$4:$F$100)+SUMIF('AvsD_M3'!$B$4:$B$100,B16,'AvsD_M3'!$F$4:$F$100)+SUMIF('AvsD_M4'!$B$4:$B$100,B16,'AvsD_M4'!$F$4:$F$100)+SUMIF('AvsD_M5'!$B$4:$B$100,B16,'AvsD_M5'!$F$4:$F$100)+SUMIF('AvsD_M6'!$B$4:$B$100,B16,'AvsD_M6'!$F$4:$F$100)+SUMIF('BvsC_M1'!$B$4:$B$100,B16,'BvsC_M1'!$F$4:$F$100)+SUMIF('BvsC_M2'!$B$4:$B$100,B16,'BvsC_M2'!$F$4:$F$100)+SUMIF('BvsC_M3'!$B$4:$B$100,B16,'BvsC_M3'!$F$4:$F$100)+SUMIF('BvsC_M4'!$B$4:$B$100,B16,'BvsC_M4'!$F$4:$F$100)+SUMIF('BvsC_M5'!$B$4:$B$100,B16,'BvsC_M5'!$F$4:$F$100)+SUMIF('BvsC_M6'!$B$4:$B$100,B16,'BvsC_M6'!$F$4:$F$100)</f>
        <v/>
      </c>
      <c r="H16" s="32">
        <f>SUMIF('AvsB_M1'!$B$4:$B$100,B16,'AvsB_M1'!$G$4:$G$100)+SUMIF('AvsB_M2'!$B$4:$B$100,B16,'AvsB_M2'!$G$4:$G$100)+SUMIF('AvsB_M3'!$B$4:$B$100,B16,'AvsB_M3'!$G$4:$G$100)+SUMIF('AvsB_M4'!$B$4:$B$100,B16,'AvsB_M4'!$G$4:$G$100)+SUMIF('AvsB_M5'!$B$4:$B$100,B16,'AvsB_M5'!$G$4:$G$100)+SUMIF('AvsB_M6'!$B$4:$B$100,B16,'AvsB_M6'!$G$4:$G$100)+SUMIF('CvsD_M1'!$B$4:$B$100,B16,'CvsD_M1'!$G$4:$G$100)+SUMIF('CvsD_M2'!$B$4:$B$100,B16,'CvsD_M2'!$G$4:$G$100)+SUMIF('CvsD_M3'!$B$4:$B$100,B16,'CvsD_M3'!$G$4:$G$100)+SUMIF('CvsD_M4'!$B$4:$B$100,B16,'CvsD_M4'!$G$4:$G$100)+SUMIF('CvsD_M5'!$B$4:$B$100,B16,'CvsD_M5'!$G$4:$G$100)+SUMIF('CvsD_M6'!$B$4:$B$100,B16,'CvsD_M6'!$G$4:$G$100)+SUMIF('AvsC_M1'!$B$4:$B$100,B16,'AvsC_M1'!$G$4:$G$100)+SUMIF('AvsC_M2'!$B$4:$B$100,B16,'AvsC_M2'!$G$4:$G$100)+SUMIF('AvsC_M3'!$B$4:$B$100,B16,'AvsC_M3'!$G$4:$G$100)+SUMIF('AvsC_M4'!$B$4:$B$100,B16,'AvsC_M4'!$G$4:$G$100)+SUMIF('AvsC_M5'!$B$4:$B$100,B16,'AvsC_M5'!$G$4:$G$100)+SUMIF('AvsC_M6'!$B$4:$B$100,B16,'AvsC_M6'!$G$4:$G$100)+SUMIF('BvsD_M1'!$B$4:$B$100,B16,'BvsD_M1'!$G$4:$G$100)+SUMIF('BvsD_M2'!$B$4:$B$100,B16,'BvsD_M2'!$G$4:$G$100)+SUMIF('BvsD_M3'!$B$4:$B$100,B16,'BvsD_M3'!$G$4:$G$100)+SUMIF('BvsD_M4'!$B$4:$B$100,B16,'BvsD_M4'!$G$4:$G$100)+SUMIF('BvsD_M5'!$B$4:$B$100,B16,'BvsD_M5'!$G$4:$G$100)+SUMIF('BvsD_M6'!$B$4:$B$100,B16,'BvsD_M6'!$G$4:$G$100)+SUMIF('AvsD_M1'!$B$4:$B$100,B16,'AvsD_M1'!$G$4:$G$100)+SUMIF('AvsD_M2'!$B$4:$B$100,B16,'AvsD_M2'!$G$4:$G$100)+SUMIF('AvsD_M3'!$B$4:$B$100,B16,'AvsD_M3'!$G$4:$G$100)+SUMIF('AvsD_M4'!$B$4:$B$100,B16,'AvsD_M4'!$G$4:$G$100)+SUMIF('AvsD_M5'!$B$4:$B$100,B16,'AvsD_M5'!$G$4:$G$100)+SUMIF('AvsD_M6'!$B$4:$B$100,B16,'AvsD_M6'!$G$4:$G$100)+SUMIF('BvsC_M1'!$B$4:$B$100,B16,'BvsC_M1'!$G$4:$G$100)+SUMIF('BvsC_M2'!$B$4:$B$100,B16,'BvsC_M2'!$G$4:$G$100)+SUMIF('BvsC_M3'!$B$4:$B$100,B16,'BvsC_M3'!$G$4:$G$100)+SUMIF('BvsC_M4'!$B$4:$B$100,B16,'BvsC_M4'!$G$4:$G$100)+SUMIF('BvsC_M5'!$B$4:$B$100,B16,'BvsC_M5'!$G$4:$G$100)+SUMIF('BvsC_M6'!$B$4:$B$100,B16,'BvsC_M6'!$G$4:$G$100)</f>
        <v/>
      </c>
      <c r="I16" s="32">
        <f>SUMIF('AvsB_M1'!$B$4:$B$100,B16,'AvsB_M1'!$H$4:$H$100)+SUMIF('AvsB_M2'!$B$4:$B$100,B16,'AvsB_M2'!$H$4:$H$100)+SUMIF('AvsB_M3'!$B$4:$B$100,B16,'AvsB_M3'!$H$4:$H$100)+SUMIF('AvsB_M4'!$B$4:$B$100,B16,'AvsB_M4'!$H$4:$H$100)+SUMIF('AvsB_M5'!$B$4:$B$100,B16,'AvsB_M5'!$H$4:$H$100)+SUMIF('AvsB_M6'!$B$4:$B$100,B16,'AvsB_M6'!$H$4:$H$100)+SUMIF('CvsD_M1'!$B$4:$B$100,B16,'CvsD_M1'!$H$4:$H$100)+SUMIF('CvsD_M2'!$B$4:$B$100,B16,'CvsD_M2'!$H$4:$H$100)+SUMIF('CvsD_M3'!$B$4:$B$100,B16,'CvsD_M3'!$H$4:$H$100)+SUMIF('CvsD_M4'!$B$4:$B$100,B16,'CvsD_M4'!$H$4:$H$100)+SUMIF('CvsD_M5'!$B$4:$B$100,B16,'CvsD_M5'!$H$4:$H$100)+SUMIF('CvsD_M6'!$B$4:$B$100,B16,'CvsD_M6'!$H$4:$H$100)+SUMIF('AvsC_M1'!$B$4:$B$100,B16,'AvsC_M1'!$H$4:$H$100)+SUMIF('AvsC_M2'!$B$4:$B$100,B16,'AvsC_M2'!$H$4:$H$100)+SUMIF('AvsC_M3'!$B$4:$B$100,B16,'AvsC_M3'!$H$4:$H$100)+SUMIF('AvsC_M4'!$B$4:$B$100,B16,'AvsC_M4'!$H$4:$H$100)+SUMIF('AvsC_M5'!$B$4:$B$100,B16,'AvsC_M5'!$H$4:$H$100)+SUMIF('AvsC_M6'!$B$4:$B$100,B16,'AvsC_M6'!$H$4:$H$100)+SUMIF('BvsD_M1'!$B$4:$B$100,B16,'BvsD_M1'!$H$4:$H$100)+SUMIF('BvsD_M2'!$B$4:$B$100,B16,'BvsD_M2'!$H$4:$H$100)+SUMIF('BvsD_M3'!$B$4:$B$100,B16,'BvsD_M3'!$H$4:$H$100)+SUMIF('BvsD_M4'!$B$4:$B$100,B16,'BvsD_M4'!$H$4:$H$100)+SUMIF('BvsD_M5'!$B$4:$B$100,B16,'BvsD_M5'!$H$4:$H$100)+SUMIF('BvsD_M6'!$B$4:$B$100,B16,'BvsD_M6'!$H$4:$H$100)+SUMIF('AvsD_M1'!$B$4:$B$100,B16,'AvsD_M1'!$H$4:$H$100)+SUMIF('AvsD_M2'!$B$4:$B$100,B16,'AvsD_M2'!$H$4:$H$100)+SUMIF('AvsD_M3'!$B$4:$B$100,B16,'AvsD_M3'!$H$4:$H$100)+SUMIF('AvsD_M4'!$B$4:$B$100,B16,'AvsD_M4'!$H$4:$H$100)+SUMIF('AvsD_M5'!$B$4:$B$100,B16,'AvsD_M5'!$H$4:$H$100)+SUMIF('AvsD_M6'!$B$4:$B$100,B16,'AvsD_M6'!$H$4:$H$100)+SUMIF('BvsC_M1'!$B$4:$B$100,B16,'BvsC_M1'!$H$4:$H$100)+SUMIF('BvsC_M2'!$B$4:$B$100,B16,'BvsC_M2'!$H$4:$H$100)+SUMIF('BvsC_M3'!$B$4:$B$100,B16,'BvsC_M3'!$H$4:$H$100)+SUMIF('BvsC_M4'!$B$4:$B$100,B16,'BvsC_M4'!$H$4:$H$100)+SUMIF('BvsC_M5'!$B$4:$B$100,B16,'BvsC_M5'!$H$4:$H$100)+SUMIF('BvsC_M6'!$B$4:$B$100,B16,'BvsC_M6'!$H$4:$H$100)</f>
        <v/>
      </c>
      <c r="J16" s="32">
        <f>SUMIF('AvsB_M1'!$B$4:$B$100,B16,'AvsB_M1'!$I$4:$I$100)+SUMIF('AvsB_M2'!$B$4:$B$100,B16,'AvsB_M2'!$I$4:$I$100)+SUMIF('AvsB_M3'!$B$4:$B$100,B16,'AvsB_M3'!$I$4:$I$100)+SUMIF('AvsB_M4'!$B$4:$B$100,B16,'AvsB_M4'!$I$4:$I$100)+SUMIF('AvsB_M5'!$B$4:$B$100,B16,'AvsB_M5'!$I$4:$I$100)+SUMIF('AvsB_M6'!$B$4:$B$100,B16,'AvsB_M6'!$I$4:$I$100)+SUMIF('CvsD_M1'!$B$4:$B$100,B16,'CvsD_M1'!$I$4:$I$100)+SUMIF('CvsD_M2'!$B$4:$B$100,B16,'CvsD_M2'!$I$4:$I$100)+SUMIF('CvsD_M3'!$B$4:$B$100,B16,'CvsD_M3'!$I$4:$I$100)+SUMIF('CvsD_M4'!$B$4:$B$100,B16,'CvsD_M4'!$I$4:$I$100)+SUMIF('CvsD_M5'!$B$4:$B$100,B16,'CvsD_M5'!$I$4:$I$100)+SUMIF('CvsD_M6'!$B$4:$B$100,B16,'CvsD_M6'!$I$4:$I$100)+SUMIF('AvsC_M1'!$B$4:$B$100,B16,'AvsC_M1'!$I$4:$I$100)+SUMIF('AvsC_M2'!$B$4:$B$100,B16,'AvsC_M2'!$I$4:$I$100)+SUMIF('AvsC_M3'!$B$4:$B$100,B16,'AvsC_M3'!$I$4:$I$100)+SUMIF('AvsC_M4'!$B$4:$B$100,B16,'AvsC_M4'!$I$4:$I$100)+SUMIF('AvsC_M5'!$B$4:$B$100,B16,'AvsC_M5'!$I$4:$I$100)+SUMIF('AvsC_M6'!$B$4:$B$100,B16,'AvsC_M6'!$I$4:$I$100)+SUMIF('BvsD_M1'!$B$4:$B$100,B16,'BvsD_M1'!$I$4:$I$100)+SUMIF('BvsD_M2'!$B$4:$B$100,B16,'BvsD_M2'!$I$4:$I$100)+SUMIF('BvsD_M3'!$B$4:$B$100,B16,'BvsD_M3'!$I$4:$I$100)+SUMIF('BvsD_M4'!$B$4:$B$100,B16,'BvsD_M4'!$I$4:$I$100)+SUMIF('BvsD_M5'!$B$4:$B$100,B16,'BvsD_M5'!$I$4:$I$100)+SUMIF('BvsD_M6'!$B$4:$B$100,B16,'BvsD_M6'!$I$4:$I$100)+SUMIF('AvsD_M1'!$B$4:$B$100,B16,'AvsD_M1'!$I$4:$I$100)+SUMIF('AvsD_M2'!$B$4:$B$100,B16,'AvsD_M2'!$I$4:$I$100)+SUMIF('AvsD_M3'!$B$4:$B$100,B16,'AvsD_M3'!$I$4:$I$100)+SUMIF('AvsD_M4'!$B$4:$B$100,B16,'AvsD_M4'!$I$4:$I$100)+SUMIF('AvsD_M5'!$B$4:$B$100,B16,'AvsD_M5'!$I$4:$I$100)+SUMIF('AvsD_M6'!$B$4:$B$100,B16,'AvsD_M6'!$I$4:$I$100)+SUMIF('BvsC_M1'!$B$4:$B$100,B16,'BvsC_M1'!$I$4:$I$100)+SUMIF('BvsC_M2'!$B$4:$B$100,B16,'BvsC_M2'!$I$4:$I$100)+SUMIF('BvsC_M3'!$B$4:$B$100,B16,'BvsC_M3'!$I$4:$I$100)+SUMIF('BvsC_M4'!$B$4:$B$100,B16,'BvsC_M4'!$I$4:$I$100)+SUMIF('BvsC_M5'!$B$4:$B$100,B16,'BvsC_M5'!$I$4:$I$100)+SUMIF('BvsC_M6'!$B$4:$B$100,B16,'BvsC_M6'!$I$4:$I$100)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2026-08-21T11:56:30Z</dcterms:created>
  <dcterms:modified xmlns:dcterms="http://purl.org/dc/terms/" xmlns:xsi="http://www.w3.org/2001/XMLSchema-instance" xsi:type="dcterms:W3CDTF">2026-08-21T12:02:15Z</dcterms:modified>
</cp:coreProperties>
</file>